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ff249834153ad6/Desktop/"/>
    </mc:Choice>
  </mc:AlternateContent>
  <xr:revisionPtr revIDLastSave="0" documentId="8_{71BCE61A-09AE-4269-AAD1-E1411D20EBCE}" xr6:coauthVersionLast="47" xr6:coauthVersionMax="47" xr10:uidLastSave="{00000000-0000-0000-0000-000000000000}"/>
  <bookViews>
    <workbookView xWindow="-108" yWindow="-108" windowWidth="23256" windowHeight="12456" xr2:uid="{B40C296E-A490-4895-B42A-934D1196514A}"/>
  </bookViews>
  <sheets>
    <sheet name="student-dataset" sheetId="1" r:id="rId1"/>
  </sheets>
  <calcPr calcId="0"/>
</workbook>
</file>

<file path=xl/calcChain.xml><?xml version="1.0" encoding="utf-8"?>
<calcChain xmlns="http://schemas.openxmlformats.org/spreadsheetml/2006/main">
  <c r="Q22" i="1" l="1"/>
  <c r="Q18" i="1"/>
</calcChain>
</file>

<file path=xl/sharedStrings.xml><?xml version="1.0" encoding="utf-8"?>
<sst xmlns="http://schemas.openxmlformats.org/spreadsheetml/2006/main" count="1561" uniqueCount="528">
  <si>
    <t>id</t>
  </si>
  <si>
    <t>name</t>
  </si>
  <si>
    <t>nationality</t>
  </si>
  <si>
    <t>city</t>
  </si>
  <si>
    <t>latitude</t>
  </si>
  <si>
    <t>longitude</t>
  </si>
  <si>
    <t>gender</t>
  </si>
  <si>
    <t>ethnic.group</t>
  </si>
  <si>
    <t>age</t>
  </si>
  <si>
    <t>english.grade</t>
  </si>
  <si>
    <t>math.grade</t>
  </si>
  <si>
    <t>sciences.grade</t>
  </si>
  <si>
    <t>language.grade</t>
  </si>
  <si>
    <t>portfolio.rating</t>
  </si>
  <si>
    <t>coverletter.rating</t>
  </si>
  <si>
    <t>refletter.rating</t>
  </si>
  <si>
    <t>Kiana Lor</t>
  </si>
  <si>
    <t>China</t>
  </si>
  <si>
    <t>Suzhou</t>
  </si>
  <si>
    <t>F</t>
  </si>
  <si>
    <t>NA</t>
  </si>
  <si>
    <t>Joshua Lonaker</t>
  </si>
  <si>
    <t>United States of America</t>
  </si>
  <si>
    <t>Santa Clarita</t>
  </si>
  <si>
    <t>M</t>
  </si>
  <si>
    <t>Dakota Blanco</t>
  </si>
  <si>
    <t>Oakland</t>
  </si>
  <si>
    <t>Count the total number of students who has nationality has china</t>
  </si>
  <si>
    <t>Natasha Yarusso</t>
  </si>
  <si>
    <t>Castro Valley</t>
  </si>
  <si>
    <t>COUNTIF(RANGE,CRETERIA)</t>
  </si>
  <si>
    <t>Brooke Cazares</t>
  </si>
  <si>
    <t>Brazil</t>
  </si>
  <si>
    <t>SÃ£o JosÃ© dos Campos</t>
  </si>
  <si>
    <t>Rochelle Johnson</t>
  </si>
  <si>
    <t>Indianapolis</t>
  </si>
  <si>
    <t>Joey Abreu</t>
  </si>
  <si>
    <t>Shenyang</t>
  </si>
  <si>
    <t>Count the total number of students who has nationality has Japan less than 23 years</t>
  </si>
  <si>
    <t>Preston Suarez</t>
  </si>
  <si>
    <t>SÃ£o Paulo</t>
  </si>
  <si>
    <t>COUNTIFS(CRETERIA 1,CRETERIA 2,…......)</t>
  </si>
  <si>
    <t>Lee Dong</t>
  </si>
  <si>
    <t>Philippines</t>
  </si>
  <si>
    <t>Manila</t>
  </si>
  <si>
    <t>Maa'iz al-Dia</t>
  </si>
  <si>
    <t>Turkey</t>
  </si>
  <si>
    <t>Istanbul</t>
  </si>
  <si>
    <t>Maja Nicholson</t>
  </si>
  <si>
    <t>Dallas</t>
  </si>
  <si>
    <t>Count the total number of students who are from peking</t>
  </si>
  <si>
    <t>Sasha Jansen</t>
  </si>
  <si>
    <t>Chicago</t>
  </si>
  <si>
    <t>SUMIF(RANGE,CRETERIA 1[SUM_RANGE])</t>
  </si>
  <si>
    <t>Alexander Sherman</t>
  </si>
  <si>
    <t>Omaha</t>
  </si>
  <si>
    <t>Edgar Sanchez</t>
  </si>
  <si>
    <t>Mexico</t>
  </si>
  <si>
    <t>Tijuana</t>
  </si>
  <si>
    <t>Kolbi Strunk</t>
  </si>
  <si>
    <t>Mission Viejo</t>
  </si>
  <si>
    <t>Brittany Sath</t>
  </si>
  <si>
    <t>Japan</t>
  </si>
  <si>
    <t>Tokyo</t>
  </si>
  <si>
    <t>Meggan Smith</t>
  </si>
  <si>
    <t>Los Angeles</t>
  </si>
  <si>
    <t>Ericka Arreola</t>
  </si>
  <si>
    <t>other</t>
  </si>
  <si>
    <t>David Pulc</t>
  </si>
  <si>
    <t>Canada</t>
  </si>
  <si>
    <t>Toronto</t>
  </si>
  <si>
    <t>Kyle Luckey</t>
  </si>
  <si>
    <t>Moreno Valley</t>
  </si>
  <si>
    <t>Rojesh Her</t>
  </si>
  <si>
    <t>David Weber</t>
  </si>
  <si>
    <t>Peking</t>
  </si>
  <si>
    <t>Rachel Jambor</t>
  </si>
  <si>
    <t>Mus'ab al-Moustafa</t>
  </si>
  <si>
    <t>Pakistan</t>
  </si>
  <si>
    <t>Rawalpindi</t>
  </si>
  <si>
    <t>Sila Nguyen</t>
  </si>
  <si>
    <t>Hebi</t>
  </si>
  <si>
    <t>Samantha Hicks</t>
  </si>
  <si>
    <t>Santa Barbara</t>
  </si>
  <si>
    <t>Angela Harding</t>
  </si>
  <si>
    <t>Manteca</t>
  </si>
  <si>
    <t>Brandon Barbour</t>
  </si>
  <si>
    <t>South Hill</t>
  </si>
  <si>
    <t>Reilly Wagar</t>
  </si>
  <si>
    <t>Modesto</t>
  </si>
  <si>
    <t>Victoria Ibarra</t>
  </si>
  <si>
    <t>Dominican Republic</t>
  </si>
  <si>
    <t>Santo Domingo</t>
  </si>
  <si>
    <t>Dakota Wirth</t>
  </si>
  <si>
    <t>Sacramento</t>
  </si>
  <si>
    <t>Lauren Klocker</t>
  </si>
  <si>
    <t>Michael Benson</t>
  </si>
  <si>
    <t>Phoenix</t>
  </si>
  <si>
    <t>Sean Rozga</t>
  </si>
  <si>
    <t>Cody Vermeylen</t>
  </si>
  <si>
    <t>Detroit</t>
  </si>
  <si>
    <t>Kinaana al-Jamail</t>
  </si>
  <si>
    <t>India</t>
  </si>
  <si>
    <t>Kanpur</t>
  </si>
  <si>
    <t>Daniel Garcia</t>
  </si>
  <si>
    <t>Peru</t>
  </si>
  <si>
    <t>Lima</t>
  </si>
  <si>
    <t>Katrina Saito</t>
  </si>
  <si>
    <t>Joshua Galloway</t>
  </si>
  <si>
    <t>New York</t>
  </si>
  <si>
    <t>Aylin Mendoza</t>
  </si>
  <si>
    <t>Sharon Fyfe</t>
  </si>
  <si>
    <t>Afnaan el-Mohammed</t>
  </si>
  <si>
    <t>New Delhi</t>
  </si>
  <si>
    <t>Jesse Williams</t>
  </si>
  <si>
    <t>Russian Federation</t>
  </si>
  <si>
    <t>Moscow</t>
  </si>
  <si>
    <t>Kenny Fukushima</t>
  </si>
  <si>
    <t>Tawnie Glaisher</t>
  </si>
  <si>
    <t>Fremont</t>
  </si>
  <si>
    <t>Britany Stevens</t>
  </si>
  <si>
    <t>Lafayette</t>
  </si>
  <si>
    <t>Alan Trinh</t>
  </si>
  <si>
    <t>Zoe Kern</t>
  </si>
  <si>
    <t>West Jordan</t>
  </si>
  <si>
    <t>Sidney Beavers</t>
  </si>
  <si>
    <t>Miriam Aguilar</t>
  </si>
  <si>
    <t>Mexicali</t>
  </si>
  <si>
    <t>Issac Mata</t>
  </si>
  <si>
    <t>TehuacÃ¡n</t>
  </si>
  <si>
    <t>Hannah Uren</t>
  </si>
  <si>
    <t>Zachary Bradley</t>
  </si>
  <si>
    <t>Spain</t>
  </si>
  <si>
    <t>Madrid</t>
  </si>
  <si>
    <t>Moira Buttitto</t>
  </si>
  <si>
    <t>Nicole Humpal</t>
  </si>
  <si>
    <t>Walnut Creek</t>
  </si>
  <si>
    <t>Georgia Williams</t>
  </si>
  <si>
    <t>Memphis</t>
  </si>
  <si>
    <t>Connor Ferry</t>
  </si>
  <si>
    <t>Charlotte</t>
  </si>
  <si>
    <t>Amanda Tatum</t>
  </si>
  <si>
    <t>San Diego</t>
  </si>
  <si>
    <t>Cameron Steinberg</t>
  </si>
  <si>
    <t>Shuraih el-Karim</t>
  </si>
  <si>
    <t>Khalabat</t>
  </si>
  <si>
    <t>Katelyn Sharp</t>
  </si>
  <si>
    <t>Colin Lemont</t>
  </si>
  <si>
    <t>Shanghai</t>
  </si>
  <si>
    <t>Donald Nevins</t>
  </si>
  <si>
    <t>San Jose</t>
  </si>
  <si>
    <t>Macaela Kadillak</t>
  </si>
  <si>
    <t>Brittany Pratt</t>
  </si>
  <si>
    <t>Cameron Hancock</t>
  </si>
  <si>
    <t>Poland</t>
  </si>
  <si>
    <t>Warsaw</t>
  </si>
  <si>
    <t>William Grevious</t>
  </si>
  <si>
    <t>Stockton</t>
  </si>
  <si>
    <t>Lindsey Job</t>
  </si>
  <si>
    <t>Gabrielle Smith</t>
  </si>
  <si>
    <t>Korea (Republic of)</t>
  </si>
  <si>
    <t>Seoul</t>
  </si>
  <si>
    <t>Allison Brink-Lomme</t>
  </si>
  <si>
    <t>Portland</t>
  </si>
  <si>
    <t>Sheyenne Delgado-Manzanares</t>
  </si>
  <si>
    <t>Cuba</t>
  </si>
  <si>
    <t>Manzanillo</t>
  </si>
  <si>
    <t>Joseph Smith</t>
  </si>
  <si>
    <t>Fikra al-Mina</t>
  </si>
  <si>
    <t>Bombay</t>
  </si>
  <si>
    <t>Aurelia Davis Ingham</t>
  </si>
  <si>
    <t>Roseville</t>
  </si>
  <si>
    <t>Taylor Elstun</t>
  </si>
  <si>
    <t>Joseph Snider</t>
  </si>
  <si>
    <t>Sourinthone Tran</t>
  </si>
  <si>
    <t>Wuhan</t>
  </si>
  <si>
    <t>Ibrahim al-Sawaya</t>
  </si>
  <si>
    <t>Tunisia</t>
  </si>
  <si>
    <t>Manzil Tamim</t>
  </si>
  <si>
    <t>Alexandra Levy</t>
  </si>
  <si>
    <t>Macie Nguyen</t>
  </si>
  <si>
    <t>Sean Tegtman</t>
  </si>
  <si>
    <t>Kettering</t>
  </si>
  <si>
    <t>Casey Vanden Bos</t>
  </si>
  <si>
    <t>Staci Maes</t>
  </si>
  <si>
    <t>Luke Davey</t>
  </si>
  <si>
    <t>Harper Wheeler-Marques</t>
  </si>
  <si>
    <t>Sherleen Saravanan</t>
  </si>
  <si>
    <t>Myanmar</t>
  </si>
  <si>
    <t>Rangoon</t>
  </si>
  <si>
    <t>Myles Vaught</t>
  </si>
  <si>
    <t>Waukegan</t>
  </si>
  <si>
    <t>Juan Guerrero Camacho</t>
  </si>
  <si>
    <t>Lindsey Freund</t>
  </si>
  <si>
    <t>Savannah Clark</t>
  </si>
  <si>
    <t>Visalia</t>
  </si>
  <si>
    <t>Bradley Monsell</t>
  </si>
  <si>
    <t>Daisha Schmidt</t>
  </si>
  <si>
    <t>Boulder</t>
  </si>
  <si>
    <t>Airabella Koontz</t>
  </si>
  <si>
    <t>Hailey Malle</t>
  </si>
  <si>
    <t>Nizhniy Novgorod</t>
  </si>
  <si>
    <t>Devon Miranda</t>
  </si>
  <si>
    <t>Colombia</t>
  </si>
  <si>
    <t>Pereira</t>
  </si>
  <si>
    <t>Danielle Nguyen</t>
  </si>
  <si>
    <t>Mateo Cisneros</t>
  </si>
  <si>
    <t>Foz do IguaÃ§u</t>
  </si>
  <si>
    <t>William Pablo</t>
  </si>
  <si>
    <t>Kashiwara</t>
  </si>
  <si>
    <t>Jason Hundsdorfer</t>
  </si>
  <si>
    <t>Antonio Desai</t>
  </si>
  <si>
    <t>Kawasaki</t>
  </si>
  <si>
    <t>Rachel Bakeman</t>
  </si>
  <si>
    <t>Mamdooh el-Moustafa</t>
  </si>
  <si>
    <t>Karachi</t>
  </si>
  <si>
    <t>Lindsey Carter</t>
  </si>
  <si>
    <t>Redwood City</t>
  </si>
  <si>
    <t>Duncan Kruse</t>
  </si>
  <si>
    <t>Santa Ana</t>
  </si>
  <si>
    <t>Callahan Foster</t>
  </si>
  <si>
    <t>Jamie Ortiz</t>
  </si>
  <si>
    <t>El Salvador</t>
  </si>
  <si>
    <t>Nueva San Salvador</t>
  </si>
  <si>
    <t>Ryan Barrett</t>
  </si>
  <si>
    <t>Samuel Palmer</t>
  </si>
  <si>
    <t>Riley Mcloughlin</t>
  </si>
  <si>
    <t>Aimee Apelyan</t>
  </si>
  <si>
    <t>Joliet</t>
  </si>
  <si>
    <t>Maryah Falloon</t>
  </si>
  <si>
    <t>Lucille Mitchell</t>
  </si>
  <si>
    <t>Edmonton</t>
  </si>
  <si>
    <t>Christian Zambrano-Munoz</t>
  </si>
  <si>
    <t>Bryce Vaillancourt</t>
  </si>
  <si>
    <t>Pomona</t>
  </si>
  <si>
    <t>Brandilyn Collins</t>
  </si>
  <si>
    <t>Konner Gearhart</t>
  </si>
  <si>
    <t>Andrew Houghton</t>
  </si>
  <si>
    <t>Spokane</t>
  </si>
  <si>
    <t>Marisa Ramey</t>
  </si>
  <si>
    <t>Magdalynne Noah</t>
  </si>
  <si>
    <t>Megan Salamena</t>
  </si>
  <si>
    <t>Meghan Arnold</t>
  </si>
  <si>
    <t>Saint Petersburg</t>
  </si>
  <si>
    <t>James Rice</t>
  </si>
  <si>
    <t>Wesley Nunn</t>
  </si>
  <si>
    <t>Gareth Newkirk</t>
  </si>
  <si>
    <t>Austin Harline</t>
  </si>
  <si>
    <t>Las Vegas</t>
  </si>
  <si>
    <t>Courtney Martinez</t>
  </si>
  <si>
    <t>Aguascalientes</t>
  </si>
  <si>
    <t>Alexandra Graham</t>
  </si>
  <si>
    <t>Alexander Swearingen</t>
  </si>
  <si>
    <t>Brandy Waldner</t>
  </si>
  <si>
    <t>Germany</t>
  </si>
  <si>
    <t>ZÃ¼lpich</t>
  </si>
  <si>
    <t>Coleman Keelen</t>
  </si>
  <si>
    <t>Callosa de Segura</t>
  </si>
  <si>
    <t>Casey Buhr</t>
  </si>
  <si>
    <t>Shauna Sneed</t>
  </si>
  <si>
    <t>Burlingame</t>
  </si>
  <si>
    <t>Caitlin Dean</t>
  </si>
  <si>
    <t>Philadelphia</t>
  </si>
  <si>
    <t>Andrew Kirin</t>
  </si>
  <si>
    <t>Odessa</t>
  </si>
  <si>
    <t>Nadia Minks</t>
  </si>
  <si>
    <t>Ivy Lucero</t>
  </si>
  <si>
    <t>Kevin Curry</t>
  </si>
  <si>
    <t>Charles Cramer</t>
  </si>
  <si>
    <t>East Los Angeles</t>
  </si>
  <si>
    <t>Emily Warner</t>
  </si>
  <si>
    <t>Lodi</t>
  </si>
  <si>
    <t>Mckenzie Haycock</t>
  </si>
  <si>
    <t>Faviola Soto</t>
  </si>
  <si>
    <t>Cortazar</t>
  </si>
  <si>
    <t>Stephen Wharton</t>
  </si>
  <si>
    <t>Tuxtla GutiÃ©rrez</t>
  </si>
  <si>
    <t>Alexandria Fortner</t>
  </si>
  <si>
    <t>Savannah Kivett</t>
  </si>
  <si>
    <t>Colorado Springs</t>
  </si>
  <si>
    <t>Tanner Jones</t>
  </si>
  <si>
    <t>Luisa Bautista</t>
  </si>
  <si>
    <t>Juhaina al-Bilal</t>
  </si>
  <si>
    <t>Bangladesh</t>
  </si>
  <si>
    <t>Dhaka</t>
  </si>
  <si>
    <t>Siena Ingram</t>
  </si>
  <si>
    <t>Henderson</t>
  </si>
  <si>
    <t>Alondra Gardea Corral</t>
  </si>
  <si>
    <t>Ensenada</t>
  </si>
  <si>
    <t>Vincent Webster</t>
  </si>
  <si>
    <t>Abdul Jabbaar el-Abdul</t>
  </si>
  <si>
    <t>Egypt</t>
  </si>
  <si>
    <t>Cairo</t>
  </si>
  <si>
    <t>Patrick Carnes</t>
  </si>
  <si>
    <t>Mesa</t>
  </si>
  <si>
    <t>Shawn O Bryan</t>
  </si>
  <si>
    <t>Fairfield</t>
  </si>
  <si>
    <t>Jenna Whitney</t>
  </si>
  <si>
    <t>Kaitlin Krueger</t>
  </si>
  <si>
    <t>Jaime Mikesell</t>
  </si>
  <si>
    <t>Katelynn Andrie</t>
  </si>
  <si>
    <t>Kansas City</t>
  </si>
  <si>
    <t>Maryn Manzanares</t>
  </si>
  <si>
    <t>Laguna Hills</t>
  </si>
  <si>
    <t>Colleen Kohout</t>
  </si>
  <si>
    <t>Daniel Spurlin</t>
  </si>
  <si>
    <t>Trevor Bulba</t>
  </si>
  <si>
    <t>Jordan Burkhamer</t>
  </si>
  <si>
    <t>Rebecca Ah Fat</t>
  </si>
  <si>
    <t>Tangshan</t>
  </si>
  <si>
    <t>Christopher Jacobo</t>
  </si>
  <si>
    <t>Min Singal</t>
  </si>
  <si>
    <t>Corey Rademacher</t>
  </si>
  <si>
    <t>Ukraine</t>
  </si>
  <si>
    <t>Chernihiv</t>
  </si>
  <si>
    <t>Alexander Reed</t>
  </si>
  <si>
    <t>Dalen Whiting</t>
  </si>
  <si>
    <t>Carrollton</t>
  </si>
  <si>
    <t>Chelsea Persky</t>
  </si>
  <si>
    <t>San Bernardino</t>
  </si>
  <si>
    <t>Karla Taylor</t>
  </si>
  <si>
    <t>Kaden Yates</t>
  </si>
  <si>
    <t>Salinas</t>
  </si>
  <si>
    <t>Maimoona el-Soliman</t>
  </si>
  <si>
    <t>Ankara</t>
  </si>
  <si>
    <t>Aaqil el-Hashemi</t>
  </si>
  <si>
    <t>Bangalore</t>
  </si>
  <si>
    <t>Sean Bruso</t>
  </si>
  <si>
    <t>United Kingdom</t>
  </si>
  <si>
    <t>London</t>
  </si>
  <si>
    <t>Andrew Bishop</t>
  </si>
  <si>
    <t>Zahraaa el-Yousef</t>
  </si>
  <si>
    <t>Hospet</t>
  </si>
  <si>
    <t>Surya Ky</t>
  </si>
  <si>
    <t>George Mann</t>
  </si>
  <si>
    <t>Latino Calderon</t>
  </si>
  <si>
    <t>Hermosillo</t>
  </si>
  <si>
    <t>Baylen Cloutier</t>
  </si>
  <si>
    <t>Nicole Torres-Valadez</t>
  </si>
  <si>
    <t>Rio de Janeiro</t>
  </si>
  <si>
    <t>Addie Villavicencio</t>
  </si>
  <si>
    <t>Billy Jack Bestle</t>
  </si>
  <si>
    <t>Baltimore</t>
  </si>
  <si>
    <t>Isabella Martinez</t>
  </si>
  <si>
    <t>BogotÃ¡</t>
  </si>
  <si>
    <t>Kimberly Thielke</t>
  </si>
  <si>
    <t>Adrian Miguel-Gomez</t>
  </si>
  <si>
    <t>MedellÃ­n</t>
  </si>
  <si>
    <t>Kayla Sales</t>
  </si>
  <si>
    <t>Quincy</t>
  </si>
  <si>
    <t>Haafiza al-Attar</t>
  </si>
  <si>
    <t>Morocco</t>
  </si>
  <si>
    <t>Rabat</t>
  </si>
  <si>
    <t>Juanita Medina</t>
  </si>
  <si>
    <t>Emma Kim</t>
  </si>
  <si>
    <t>Hengshui</t>
  </si>
  <si>
    <t>Mckayla Dopler</t>
  </si>
  <si>
    <t>Netherlands</t>
  </si>
  <si>
    <t>Kerkrade</t>
  </si>
  <si>
    <t>Jonathan Nevarez</t>
  </si>
  <si>
    <t>Roger Redfern</t>
  </si>
  <si>
    <t>Hannah Critchfield</t>
  </si>
  <si>
    <t>Chue Fue Richter</t>
  </si>
  <si>
    <t>Qiqihar</t>
  </si>
  <si>
    <t>Joshua Mesan</t>
  </si>
  <si>
    <t>Dylan Bell</t>
  </si>
  <si>
    <t>Tucson</t>
  </si>
  <si>
    <t>Troy White</t>
  </si>
  <si>
    <t>Sabaaha al-Latif</t>
  </si>
  <si>
    <t>Grant Walden</t>
  </si>
  <si>
    <t>Kitty Nguyen</t>
  </si>
  <si>
    <t>Tyler Kibel</t>
  </si>
  <si>
    <t>Kyler Overboe</t>
  </si>
  <si>
    <t>Alexander Lizama</t>
  </si>
  <si>
    <t>Belo Horizonte</t>
  </si>
  <si>
    <t>Aaron Knott</t>
  </si>
  <si>
    <t>Jessica Greenberg</t>
  </si>
  <si>
    <t>Joplin</t>
  </si>
  <si>
    <t>Lexi Hatton</t>
  </si>
  <si>
    <t>Jesse Hodapp</t>
  </si>
  <si>
    <t>Danville</t>
  </si>
  <si>
    <t>Andrew Brunelli</t>
  </si>
  <si>
    <t>Makenzie Swann</t>
  </si>
  <si>
    <t>Carlos Anaya</t>
  </si>
  <si>
    <t>Felipe Martinez Acosta</t>
  </si>
  <si>
    <t>Chile</t>
  </si>
  <si>
    <t>Santiago</t>
  </si>
  <si>
    <t>Emma Casias</t>
  </si>
  <si>
    <t>Rochester</t>
  </si>
  <si>
    <t>Adolf Malik</t>
  </si>
  <si>
    <t>Christian Chow</t>
  </si>
  <si>
    <t>Handan</t>
  </si>
  <si>
    <t>Asad el-Yacoub</t>
  </si>
  <si>
    <t>Thana</t>
  </si>
  <si>
    <t>Holly Marshall</t>
  </si>
  <si>
    <t>San Francisco</t>
  </si>
  <si>
    <t>Brandilyn Hanselman</t>
  </si>
  <si>
    <t>Chelyabinsk</t>
  </si>
  <si>
    <t>Nicole Patria</t>
  </si>
  <si>
    <t>Chongqing</t>
  </si>
  <si>
    <t>Kyler Grieshaber</t>
  </si>
  <si>
    <t>Cohoes</t>
  </si>
  <si>
    <t>Jasper Stang</t>
  </si>
  <si>
    <t>Anthony Visocsky</t>
  </si>
  <si>
    <t>Santa Rosa</t>
  </si>
  <si>
    <t>Jake Seime</t>
  </si>
  <si>
    <t>Reno</t>
  </si>
  <si>
    <t>Dasha Bannock Lee</t>
  </si>
  <si>
    <t>Anthony Mcdevitt</t>
  </si>
  <si>
    <t>Darby Focken</t>
  </si>
  <si>
    <t>Hinsdale</t>
  </si>
  <si>
    <t>Abigail Gallegos</t>
  </si>
  <si>
    <t>BelÃ©m</t>
  </si>
  <si>
    <t>Patricia Rockhold</t>
  </si>
  <si>
    <t>Kylie Schafer</t>
  </si>
  <si>
    <t>Houston</t>
  </si>
  <si>
    <t>Katherine Beatty</t>
  </si>
  <si>
    <t>Melissa Bickel</t>
  </si>
  <si>
    <t>Rachel Boh</t>
  </si>
  <si>
    <t>Anna Yoshimura</t>
  </si>
  <si>
    <t>Rizhao</t>
  </si>
  <si>
    <t>Joseph Hazelton</t>
  </si>
  <si>
    <t>Tiffany Nguyen</t>
  </si>
  <si>
    <t>Thailand</t>
  </si>
  <si>
    <t>Bangkok</t>
  </si>
  <si>
    <t>Ryan Tyler</t>
  </si>
  <si>
    <t>Max Flores</t>
  </si>
  <si>
    <t>Veronica Tounzen</t>
  </si>
  <si>
    <t>Haley Ingrim-Hyrup</t>
  </si>
  <si>
    <t>Fontana</t>
  </si>
  <si>
    <t>Kayla Sandefur</t>
  </si>
  <si>
    <t>Rylee Onstott</t>
  </si>
  <si>
    <t>Kelli De Bartolome</t>
  </si>
  <si>
    <t>Thomas Chanlynn</t>
  </si>
  <si>
    <t>Bay Point</t>
  </si>
  <si>
    <t>Andrew Yelich</t>
  </si>
  <si>
    <t>Dimitri Castillo</t>
  </si>
  <si>
    <t>Dos Quebradas</t>
  </si>
  <si>
    <t>Matthew Strasburger</t>
  </si>
  <si>
    <t>Vittoria Faulkner</t>
  </si>
  <si>
    <t>Tyler Goetz</t>
  </si>
  <si>
    <t>Tyler Weller</t>
  </si>
  <si>
    <t>Terri Mergelman</t>
  </si>
  <si>
    <t>Abigail Orgeron</t>
  </si>
  <si>
    <t>Prior Lake</t>
  </si>
  <si>
    <t>Jessica Huynh</t>
  </si>
  <si>
    <t>Kyle Blanscet</t>
  </si>
  <si>
    <t>Sabattus</t>
  </si>
  <si>
    <t>Ronald Toth</t>
  </si>
  <si>
    <t>Branden Cantrell</t>
  </si>
  <si>
    <t>Hannah Ratterman</t>
  </si>
  <si>
    <t>Alexandria Winter</t>
  </si>
  <si>
    <t>Ryan Russell</t>
  </si>
  <si>
    <t>Vacaville</t>
  </si>
  <si>
    <t>Logan Nighswonger</t>
  </si>
  <si>
    <t>Zaghlool al-Pasha</t>
  </si>
  <si>
    <t>Deoria</t>
  </si>
  <si>
    <t>Madeline Kremke</t>
  </si>
  <si>
    <t>Montgomery Village</t>
  </si>
  <si>
    <t>John Ferry</t>
  </si>
  <si>
    <t>Long Beach</t>
  </si>
  <si>
    <t>Michelle Goldanloo</t>
  </si>
  <si>
    <t>Ryan Heidebrecht</t>
  </si>
  <si>
    <t>Murtidevi Chung</t>
  </si>
  <si>
    <t>Arely Rodriguez</t>
  </si>
  <si>
    <t>Morelia</t>
  </si>
  <si>
    <t>Taylor Stone</t>
  </si>
  <si>
    <t>Melody Bowyer</t>
  </si>
  <si>
    <t>Baytown</t>
  </si>
  <si>
    <t>Bryant Ronquillo</t>
  </si>
  <si>
    <t>Garrett Heim</t>
  </si>
  <si>
    <t>Mobile</t>
  </si>
  <si>
    <t>Cody Amen</t>
  </si>
  <si>
    <t>Jasmine Lopez</t>
  </si>
  <si>
    <t>GuaxupÃ©</t>
  </si>
  <si>
    <t>William Tierney</t>
  </si>
  <si>
    <t>Matthew Sputh</t>
  </si>
  <si>
    <t>Brenna Chapman</t>
  </si>
  <si>
    <t>Blake Loughran</t>
  </si>
  <si>
    <t>Michael Melendrez</t>
  </si>
  <si>
    <t>Shreveport</t>
  </si>
  <si>
    <t>Katie Abercrombie</t>
  </si>
  <si>
    <t>Justin Krause</t>
  </si>
  <si>
    <t>Independence</t>
  </si>
  <si>
    <t>Jennifer Hauge</t>
  </si>
  <si>
    <t>Tiffanie Her</t>
  </si>
  <si>
    <t>Dyllan Paige</t>
  </si>
  <si>
    <t>Sugar Land</t>
  </si>
  <si>
    <t>Cole Hathcoat</t>
  </si>
  <si>
    <t>Lemoore</t>
  </si>
  <si>
    <t>Jesse Carballo</t>
  </si>
  <si>
    <t>Robert Podolski</t>
  </si>
  <si>
    <t>Viridiana Ballesteros</t>
  </si>
  <si>
    <t>Alfenas</t>
  </si>
  <si>
    <t>Michael Griffin</t>
  </si>
  <si>
    <t>Chad Klemp</t>
  </si>
  <si>
    <t>Weldon Hightower</t>
  </si>
  <si>
    <t>Daniel Pierce</t>
  </si>
  <si>
    <t>Michaela Schoenbeck</t>
  </si>
  <si>
    <t>Rexburg</t>
  </si>
  <si>
    <t>Charles Prose</t>
  </si>
  <si>
    <t>Miami</t>
  </si>
  <si>
    <t>Brittany Kemmerzell</t>
  </si>
  <si>
    <t>Taryn Springfield</t>
  </si>
  <si>
    <t>Vancouver</t>
  </si>
  <si>
    <t>Matthew Obourn</t>
  </si>
  <si>
    <t>Travis Poss</t>
  </si>
  <si>
    <t>Brittany Fernandez</t>
  </si>
  <si>
    <t>Zamora</t>
  </si>
  <si>
    <t>Cody Smith</t>
  </si>
  <si>
    <t>Nicolas Papp</t>
  </si>
  <si>
    <t>Christopher Inhulsen</t>
  </si>
  <si>
    <t>Fort Worth</t>
  </si>
  <si>
    <t>Tessa Rawanduzy</t>
  </si>
  <si>
    <t>Derby</t>
  </si>
  <si>
    <t>Vanessa Gonzalez</t>
  </si>
  <si>
    <t>Nicaragua</t>
  </si>
  <si>
    <t>LeÃ³n</t>
  </si>
  <si>
    <t>Austin Haas</t>
  </si>
  <si>
    <t>Columbus</t>
  </si>
  <si>
    <t>Madison Fithian</t>
  </si>
  <si>
    <t>Zachary Mulvahill</t>
  </si>
  <si>
    <t>Eliana Michelsen</t>
  </si>
  <si>
    <t>Dane Whittemore</t>
  </si>
  <si>
    <t xml:space="preserve">Calculate the total English grades of male students from Tokyo </t>
  </si>
  <si>
    <t>SUMIFS(RANGE,CRETERIA1,CERETIA2,…)</t>
  </si>
  <si>
    <t>Calculate the average science grade of students whose nationality is Pakistan</t>
  </si>
  <si>
    <t>AVERAGEIF(RANGE,CRETERIA,[AVERAGE_RANGE])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</si>
</sst>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  <xf numFmtId="0" fontId="0" fillId="33" borderId="0" xfId="0" applyFill="1"/>
    <xf numFmtId="0" fontId="18" fillId="0" borderId="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F2C8-B734-4E61-9AF4-17C64C05FF78}">
  <dimension ref="A1:X308"/>
  <sheetViews>
    <sheetView tabSelected="1" topLeftCell="B1" workbookViewId="0">
      <selection activeCell="R22" sqref="R22"/>
    </sheetView>
  </sheetViews>
  <sheetFormatPr defaultRowHeight="14.4" x14ac:dyDescent="0.3"/>
  <cols>
    <col min="23" max="23" width="10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4" x14ac:dyDescent="0.3">
      <c r="A2">
        <v>0</v>
      </c>
      <c r="B2" t="s">
        <v>16</v>
      </c>
      <c r="C2" t="s">
        <v>17</v>
      </c>
      <c r="D2" t="s">
        <v>18</v>
      </c>
      <c r="E2">
        <v>31.31</v>
      </c>
      <c r="F2">
        <v>120.62</v>
      </c>
      <c r="G2" t="s">
        <v>19</v>
      </c>
      <c r="H2" t="s">
        <v>20</v>
      </c>
      <c r="I2">
        <v>22</v>
      </c>
      <c r="J2">
        <v>3.5</v>
      </c>
      <c r="K2">
        <v>3.7</v>
      </c>
      <c r="L2">
        <v>3.1</v>
      </c>
      <c r="M2">
        <v>1</v>
      </c>
      <c r="N2">
        <v>4</v>
      </c>
      <c r="O2">
        <v>4</v>
      </c>
      <c r="P2">
        <v>4</v>
      </c>
    </row>
    <row r="3" spans="1:24" x14ac:dyDescent="0.3">
      <c r="A3">
        <v>1</v>
      </c>
      <c r="B3" t="s">
        <v>21</v>
      </c>
      <c r="C3" t="s">
        <v>22</v>
      </c>
      <c r="D3" t="s">
        <v>23</v>
      </c>
      <c r="E3">
        <v>34.39</v>
      </c>
      <c r="F3">
        <v>-118.54</v>
      </c>
      <c r="G3" t="s">
        <v>24</v>
      </c>
      <c r="H3" t="s">
        <v>20</v>
      </c>
      <c r="I3">
        <v>22</v>
      </c>
      <c r="J3">
        <v>2.9</v>
      </c>
      <c r="K3">
        <v>3.2</v>
      </c>
      <c r="L3">
        <v>3.6</v>
      </c>
      <c r="M3">
        <v>5</v>
      </c>
      <c r="N3">
        <v>5</v>
      </c>
      <c r="O3">
        <v>4</v>
      </c>
      <c r="P3">
        <v>5</v>
      </c>
    </row>
    <row r="4" spans="1:24" x14ac:dyDescent="0.3">
      <c r="A4">
        <v>2</v>
      </c>
      <c r="B4" t="s">
        <v>25</v>
      </c>
      <c r="C4" t="s">
        <v>22</v>
      </c>
      <c r="D4" t="s">
        <v>26</v>
      </c>
      <c r="E4">
        <v>37.799999999999997</v>
      </c>
      <c r="F4">
        <v>-122.27</v>
      </c>
      <c r="G4" t="s">
        <v>19</v>
      </c>
      <c r="H4" t="s">
        <v>20</v>
      </c>
      <c r="I4">
        <v>22</v>
      </c>
      <c r="J4">
        <v>3.9</v>
      </c>
      <c r="K4">
        <v>3.8</v>
      </c>
      <c r="L4">
        <v>3.2</v>
      </c>
      <c r="M4">
        <v>5</v>
      </c>
      <c r="N4">
        <v>3</v>
      </c>
      <c r="O4">
        <v>3</v>
      </c>
      <c r="P4">
        <v>4</v>
      </c>
      <c r="Q4" s="1" t="s">
        <v>27</v>
      </c>
      <c r="R4" s="1"/>
      <c r="S4" s="1"/>
      <c r="T4" s="1"/>
      <c r="U4" s="1"/>
      <c r="V4" s="1"/>
    </row>
    <row r="5" spans="1:24" x14ac:dyDescent="0.3">
      <c r="A5">
        <v>3</v>
      </c>
      <c r="B5" t="s">
        <v>28</v>
      </c>
      <c r="C5" t="s">
        <v>22</v>
      </c>
      <c r="D5" t="s">
        <v>29</v>
      </c>
      <c r="E5">
        <v>37.69</v>
      </c>
      <c r="F5">
        <v>-122.09</v>
      </c>
      <c r="G5" t="s">
        <v>19</v>
      </c>
      <c r="H5" t="s">
        <v>20</v>
      </c>
      <c r="I5">
        <v>20</v>
      </c>
      <c r="J5">
        <v>3.3</v>
      </c>
      <c r="K5">
        <v>2.8</v>
      </c>
      <c r="L5">
        <v>3.2</v>
      </c>
      <c r="M5">
        <v>5</v>
      </c>
      <c r="N5">
        <v>5</v>
      </c>
      <c r="O5">
        <v>2</v>
      </c>
      <c r="P5">
        <v>4</v>
      </c>
      <c r="Q5" s="2" t="s">
        <v>30</v>
      </c>
      <c r="R5" s="2"/>
      <c r="S5" s="2"/>
    </row>
    <row r="6" spans="1:24" x14ac:dyDescent="0.3">
      <c r="A6">
        <v>4</v>
      </c>
      <c r="B6" t="s">
        <v>31</v>
      </c>
      <c r="C6" t="s">
        <v>32</v>
      </c>
      <c r="D6" t="s">
        <v>33</v>
      </c>
      <c r="E6">
        <v>-23.18</v>
      </c>
      <c r="F6">
        <v>-45.88</v>
      </c>
      <c r="G6" t="s">
        <v>19</v>
      </c>
      <c r="H6" t="s">
        <v>20</v>
      </c>
      <c r="I6">
        <v>21</v>
      </c>
      <c r="J6">
        <v>3.7</v>
      </c>
      <c r="K6">
        <v>2.6</v>
      </c>
      <c r="L6">
        <v>3.4</v>
      </c>
      <c r="M6">
        <v>1</v>
      </c>
      <c r="N6">
        <v>4</v>
      </c>
      <c r="O6">
        <v>4</v>
      </c>
      <c r="P6">
        <v>5</v>
      </c>
      <c r="Q6" s="3">
        <v>13</v>
      </c>
    </row>
    <row r="7" spans="1:24" x14ac:dyDescent="0.3">
      <c r="A7">
        <v>5</v>
      </c>
      <c r="B7" t="s">
        <v>34</v>
      </c>
      <c r="C7" t="s">
        <v>22</v>
      </c>
      <c r="D7" t="s">
        <v>35</v>
      </c>
      <c r="E7">
        <v>39.770000000000003</v>
      </c>
      <c r="F7">
        <v>-86.16</v>
      </c>
      <c r="G7" t="s">
        <v>19</v>
      </c>
      <c r="H7" t="s">
        <v>20</v>
      </c>
      <c r="I7">
        <v>21</v>
      </c>
      <c r="J7">
        <v>3.4</v>
      </c>
      <c r="K7">
        <v>3.1</v>
      </c>
      <c r="L7">
        <v>3.7</v>
      </c>
      <c r="M7">
        <v>5</v>
      </c>
      <c r="N7">
        <v>2</v>
      </c>
      <c r="O7">
        <v>4</v>
      </c>
      <c r="P7">
        <v>4</v>
      </c>
    </row>
    <row r="8" spans="1:24" x14ac:dyDescent="0.3">
      <c r="A8">
        <v>6</v>
      </c>
      <c r="B8" t="s">
        <v>36</v>
      </c>
      <c r="C8" t="s">
        <v>17</v>
      </c>
      <c r="D8" t="s">
        <v>37</v>
      </c>
      <c r="E8">
        <v>41.79</v>
      </c>
      <c r="F8">
        <v>123.43</v>
      </c>
      <c r="G8" t="s">
        <v>24</v>
      </c>
      <c r="H8" t="s">
        <v>20</v>
      </c>
      <c r="I8">
        <v>22</v>
      </c>
      <c r="J8">
        <v>3.7</v>
      </c>
      <c r="K8">
        <v>3.9</v>
      </c>
      <c r="L8">
        <v>3.6</v>
      </c>
      <c r="M8">
        <v>2</v>
      </c>
      <c r="N8">
        <v>5</v>
      </c>
      <c r="O8">
        <v>5</v>
      </c>
      <c r="P8">
        <v>5</v>
      </c>
      <c r="Q8" s="1" t="s">
        <v>38</v>
      </c>
      <c r="R8" s="1"/>
      <c r="S8" s="1"/>
      <c r="T8" s="1"/>
      <c r="U8" s="1"/>
      <c r="V8" s="1"/>
      <c r="W8" s="1"/>
      <c r="X8" s="1"/>
    </row>
    <row r="9" spans="1:24" x14ac:dyDescent="0.3">
      <c r="A9">
        <v>7</v>
      </c>
      <c r="B9" t="s">
        <v>39</v>
      </c>
      <c r="C9" t="s">
        <v>32</v>
      </c>
      <c r="D9" t="s">
        <v>40</v>
      </c>
      <c r="E9">
        <v>-23.47</v>
      </c>
      <c r="F9">
        <v>-46.67</v>
      </c>
      <c r="G9" t="s">
        <v>24</v>
      </c>
      <c r="H9" t="s">
        <v>20</v>
      </c>
      <c r="I9">
        <v>22</v>
      </c>
      <c r="J9">
        <v>3.8</v>
      </c>
      <c r="K9">
        <v>3.7</v>
      </c>
      <c r="L9">
        <v>3.6</v>
      </c>
      <c r="M9">
        <v>2</v>
      </c>
      <c r="N9">
        <v>5</v>
      </c>
      <c r="O9">
        <v>5</v>
      </c>
      <c r="P9">
        <v>4</v>
      </c>
      <c r="Q9" s="2" t="s">
        <v>41</v>
      </c>
      <c r="R9" s="2"/>
      <c r="S9" s="2"/>
      <c r="T9" s="2"/>
      <c r="U9" s="2"/>
    </row>
    <row r="10" spans="1:24" x14ac:dyDescent="0.3">
      <c r="A10">
        <v>8</v>
      </c>
      <c r="B10" t="s">
        <v>42</v>
      </c>
      <c r="C10" t="s">
        <v>43</v>
      </c>
      <c r="D10" t="s">
        <v>44</v>
      </c>
      <c r="E10">
        <v>14.6</v>
      </c>
      <c r="F10">
        <v>120.98</v>
      </c>
      <c r="G10" t="s">
        <v>19</v>
      </c>
      <c r="H10" t="s">
        <v>20</v>
      </c>
      <c r="I10">
        <v>24</v>
      </c>
      <c r="J10">
        <v>3.9</v>
      </c>
      <c r="K10">
        <v>3.6</v>
      </c>
      <c r="L10">
        <v>3.2</v>
      </c>
      <c r="M10">
        <v>2</v>
      </c>
      <c r="N10">
        <v>4</v>
      </c>
      <c r="O10">
        <v>3</v>
      </c>
      <c r="P10">
        <v>5</v>
      </c>
      <c r="Q10" s="3">
        <v>8</v>
      </c>
    </row>
    <row r="11" spans="1:24" x14ac:dyDescent="0.3">
      <c r="A11">
        <v>9</v>
      </c>
      <c r="B11" t="s">
        <v>45</v>
      </c>
      <c r="C11" t="s">
        <v>46</v>
      </c>
      <c r="D11" t="s">
        <v>47</v>
      </c>
      <c r="E11">
        <v>41.02</v>
      </c>
      <c r="F11">
        <v>28.96</v>
      </c>
      <c r="G11" t="s">
        <v>24</v>
      </c>
      <c r="H11" t="s">
        <v>20</v>
      </c>
      <c r="I11">
        <v>22</v>
      </c>
      <c r="J11">
        <v>2.4</v>
      </c>
      <c r="K11">
        <v>2.8</v>
      </c>
      <c r="L11">
        <v>3.8</v>
      </c>
      <c r="M11">
        <v>3</v>
      </c>
      <c r="N11">
        <v>5</v>
      </c>
      <c r="O11">
        <v>5</v>
      </c>
      <c r="P11">
        <v>4</v>
      </c>
    </row>
    <row r="12" spans="1:24" x14ac:dyDescent="0.3">
      <c r="A12">
        <v>10</v>
      </c>
      <c r="B12" t="s">
        <v>48</v>
      </c>
      <c r="C12" t="s">
        <v>22</v>
      </c>
      <c r="D12" t="s">
        <v>49</v>
      </c>
      <c r="E12">
        <v>32.78</v>
      </c>
      <c r="F12">
        <v>-96.8</v>
      </c>
      <c r="G12" t="s">
        <v>19</v>
      </c>
      <c r="H12" t="s">
        <v>20</v>
      </c>
      <c r="I12">
        <v>23</v>
      </c>
      <c r="J12">
        <v>3.4</v>
      </c>
      <c r="K12">
        <v>3.5</v>
      </c>
      <c r="L12">
        <v>3.2</v>
      </c>
      <c r="M12">
        <v>5</v>
      </c>
      <c r="N12">
        <v>4</v>
      </c>
      <c r="O12">
        <v>2</v>
      </c>
      <c r="P12">
        <v>5</v>
      </c>
      <c r="Q12" s="1" t="s">
        <v>50</v>
      </c>
      <c r="R12" s="1"/>
      <c r="S12" s="1"/>
      <c r="T12" s="1"/>
      <c r="U12" s="1"/>
      <c r="V12" s="1"/>
    </row>
    <row r="13" spans="1:24" x14ac:dyDescent="0.3">
      <c r="A13">
        <v>11</v>
      </c>
      <c r="B13" t="s">
        <v>51</v>
      </c>
      <c r="C13" t="s">
        <v>22</v>
      </c>
      <c r="D13" t="s">
        <v>52</v>
      </c>
      <c r="E13">
        <v>41.85</v>
      </c>
      <c r="F13">
        <v>-87.65</v>
      </c>
      <c r="G13" t="s">
        <v>19</v>
      </c>
      <c r="H13" t="s">
        <v>20</v>
      </c>
      <c r="I13">
        <v>21</v>
      </c>
      <c r="J13">
        <v>1.7</v>
      </c>
      <c r="K13">
        <v>4</v>
      </c>
      <c r="L13">
        <v>3.6</v>
      </c>
      <c r="M13">
        <v>5</v>
      </c>
      <c r="N13">
        <v>4</v>
      </c>
      <c r="O13">
        <v>4</v>
      </c>
      <c r="P13">
        <v>5</v>
      </c>
      <c r="Q13" s="2" t="s">
        <v>53</v>
      </c>
      <c r="R13" s="2"/>
      <c r="S13" s="2"/>
      <c r="T13" s="2"/>
      <c r="U13" s="2"/>
      <c r="V13" s="2"/>
    </row>
    <row r="14" spans="1:24" x14ac:dyDescent="0.3">
      <c r="A14">
        <v>12</v>
      </c>
      <c r="B14" t="s">
        <v>54</v>
      </c>
      <c r="C14" t="s">
        <v>22</v>
      </c>
      <c r="D14" t="s">
        <v>55</v>
      </c>
      <c r="E14">
        <v>41.26</v>
      </c>
      <c r="F14">
        <v>-95.94</v>
      </c>
      <c r="G14" t="s">
        <v>24</v>
      </c>
      <c r="H14" t="s">
        <v>20</v>
      </c>
      <c r="I14">
        <v>20</v>
      </c>
      <c r="J14">
        <v>3.8</v>
      </c>
      <c r="K14">
        <v>3.6</v>
      </c>
      <c r="L14">
        <v>3.9</v>
      </c>
      <c r="M14">
        <v>5</v>
      </c>
      <c r="N14">
        <v>4</v>
      </c>
      <c r="O14">
        <v>4</v>
      </c>
      <c r="P14">
        <v>5</v>
      </c>
      <c r="Q14" s="3">
        <v>20</v>
      </c>
    </row>
    <row r="15" spans="1:24" x14ac:dyDescent="0.3">
      <c r="A15">
        <v>13</v>
      </c>
      <c r="B15" t="s">
        <v>56</v>
      </c>
      <c r="C15" t="s">
        <v>57</v>
      </c>
      <c r="D15" t="s">
        <v>58</v>
      </c>
      <c r="E15">
        <v>32.53</v>
      </c>
      <c r="F15">
        <v>-117.02</v>
      </c>
      <c r="G15" t="s">
        <v>24</v>
      </c>
      <c r="H15" t="s">
        <v>20</v>
      </c>
      <c r="I15">
        <v>23</v>
      </c>
      <c r="J15">
        <v>3.7</v>
      </c>
      <c r="K15">
        <v>3.5</v>
      </c>
      <c r="L15">
        <v>4</v>
      </c>
      <c r="M15">
        <v>4</v>
      </c>
      <c r="N15">
        <v>4</v>
      </c>
      <c r="O15">
        <v>5</v>
      </c>
      <c r="P15">
        <v>5</v>
      </c>
    </row>
    <row r="16" spans="1:24" x14ac:dyDescent="0.3">
      <c r="A16">
        <v>14</v>
      </c>
      <c r="B16" t="s">
        <v>59</v>
      </c>
      <c r="C16" t="s">
        <v>22</v>
      </c>
      <c r="D16" t="s">
        <v>60</v>
      </c>
      <c r="E16">
        <v>33.6</v>
      </c>
      <c r="F16">
        <v>-117.67</v>
      </c>
      <c r="G16" t="s">
        <v>24</v>
      </c>
      <c r="H16" t="s">
        <v>20</v>
      </c>
      <c r="I16">
        <v>21</v>
      </c>
      <c r="J16">
        <v>3.2</v>
      </c>
      <c r="K16">
        <v>3.9</v>
      </c>
      <c r="L16">
        <v>3.3</v>
      </c>
      <c r="M16">
        <v>5</v>
      </c>
      <c r="N16">
        <v>4</v>
      </c>
      <c r="O16">
        <v>3</v>
      </c>
      <c r="P16">
        <v>4</v>
      </c>
      <c r="Q16" s="4" t="s">
        <v>524</v>
      </c>
      <c r="R16" s="4"/>
      <c r="S16" s="4"/>
      <c r="T16" s="4"/>
      <c r="U16" s="4"/>
      <c r="V16" s="4"/>
      <c r="W16" s="4"/>
    </row>
    <row r="17" spans="1:23" x14ac:dyDescent="0.3">
      <c r="A17">
        <v>15</v>
      </c>
      <c r="B17" t="s">
        <v>61</v>
      </c>
      <c r="C17" t="s">
        <v>62</v>
      </c>
      <c r="D17" t="s">
        <v>63</v>
      </c>
      <c r="E17">
        <v>35.69</v>
      </c>
      <c r="F17">
        <v>139.75</v>
      </c>
      <c r="G17" t="s">
        <v>19</v>
      </c>
      <c r="H17" t="s">
        <v>20</v>
      </c>
      <c r="I17">
        <v>21</v>
      </c>
      <c r="J17">
        <v>4</v>
      </c>
      <c r="K17">
        <v>3.9</v>
      </c>
      <c r="L17">
        <v>3.7</v>
      </c>
      <c r="M17">
        <v>3</v>
      </c>
      <c r="N17">
        <v>5</v>
      </c>
      <c r="O17">
        <v>3</v>
      </c>
      <c r="P17">
        <v>5</v>
      </c>
      <c r="Q17" s="6" t="s">
        <v>525</v>
      </c>
      <c r="R17" s="6"/>
      <c r="S17" s="6"/>
      <c r="T17" s="6"/>
      <c r="U17" s="6"/>
      <c r="V17" s="6"/>
      <c r="W17" s="6"/>
    </row>
    <row r="18" spans="1:23" x14ac:dyDescent="0.3">
      <c r="A18">
        <v>16</v>
      </c>
      <c r="B18" t="s">
        <v>64</v>
      </c>
      <c r="C18" t="s">
        <v>22</v>
      </c>
      <c r="D18" t="s">
        <v>65</v>
      </c>
      <c r="E18">
        <v>34.049999999999997</v>
      </c>
      <c r="F18">
        <v>-118.24</v>
      </c>
      <c r="G18" t="s">
        <v>19</v>
      </c>
      <c r="H18" t="s">
        <v>20</v>
      </c>
      <c r="I18">
        <v>21</v>
      </c>
      <c r="J18">
        <v>2.9</v>
      </c>
      <c r="K18">
        <v>3.4</v>
      </c>
      <c r="L18">
        <v>3.6</v>
      </c>
      <c r="M18">
        <v>5</v>
      </c>
      <c r="N18">
        <v>2</v>
      </c>
      <c r="O18">
        <v>5</v>
      </c>
      <c r="P18">
        <v>4</v>
      </c>
      <c r="Q18" s="3">
        <f>SUMIFS(J:J,G:G,"M",D:D,"Tokyo")</f>
        <v>10.5</v>
      </c>
    </row>
    <row r="19" spans="1:23" x14ac:dyDescent="0.3">
      <c r="A19">
        <v>17</v>
      </c>
      <c r="B19" t="s">
        <v>66</v>
      </c>
      <c r="C19" t="s">
        <v>57</v>
      </c>
      <c r="D19" t="s">
        <v>57</v>
      </c>
      <c r="E19">
        <v>19.43</v>
      </c>
      <c r="F19">
        <v>-99.14</v>
      </c>
      <c r="G19" t="s">
        <v>67</v>
      </c>
      <c r="H19" t="s">
        <v>20</v>
      </c>
      <c r="I19">
        <v>23</v>
      </c>
      <c r="J19">
        <v>3.1</v>
      </c>
      <c r="K19">
        <v>3.5</v>
      </c>
      <c r="L19">
        <v>2.8</v>
      </c>
      <c r="M19">
        <v>4</v>
      </c>
      <c r="N19">
        <v>4</v>
      </c>
      <c r="O19">
        <v>3</v>
      </c>
      <c r="P19">
        <v>4</v>
      </c>
    </row>
    <row r="20" spans="1:23" x14ac:dyDescent="0.3">
      <c r="A20">
        <v>18</v>
      </c>
      <c r="B20" t="s">
        <v>68</v>
      </c>
      <c r="C20" t="s">
        <v>69</v>
      </c>
      <c r="D20" t="s">
        <v>70</v>
      </c>
      <c r="E20">
        <v>43.67</v>
      </c>
      <c r="F20">
        <v>-79.42</v>
      </c>
      <c r="G20" t="s">
        <v>24</v>
      </c>
      <c r="H20" t="s">
        <v>20</v>
      </c>
      <c r="I20">
        <v>24</v>
      </c>
      <c r="J20">
        <v>3.9</v>
      </c>
      <c r="K20">
        <v>2.9</v>
      </c>
      <c r="L20">
        <v>4</v>
      </c>
      <c r="M20">
        <v>5</v>
      </c>
      <c r="N20">
        <v>5</v>
      </c>
      <c r="O20">
        <v>4</v>
      </c>
      <c r="P20">
        <v>2</v>
      </c>
      <c r="Q20" s="4" t="s">
        <v>526</v>
      </c>
      <c r="R20" s="4"/>
      <c r="S20" s="4"/>
      <c r="T20" s="4"/>
      <c r="U20" s="4"/>
      <c r="V20" s="4"/>
      <c r="W20" s="4"/>
    </row>
    <row r="21" spans="1:23" x14ac:dyDescent="0.3">
      <c r="A21">
        <v>19</v>
      </c>
      <c r="B21" t="s">
        <v>71</v>
      </c>
      <c r="C21" t="s">
        <v>22</v>
      </c>
      <c r="D21" t="s">
        <v>72</v>
      </c>
      <c r="E21">
        <v>33.94</v>
      </c>
      <c r="F21">
        <v>-117.23</v>
      </c>
      <c r="G21" t="s">
        <v>24</v>
      </c>
      <c r="H21" t="s">
        <v>20</v>
      </c>
      <c r="I21">
        <v>23</v>
      </c>
      <c r="J21">
        <v>3.7</v>
      </c>
      <c r="K21">
        <v>3.9</v>
      </c>
      <c r="L21">
        <v>3.4</v>
      </c>
      <c r="M21">
        <v>5</v>
      </c>
      <c r="N21">
        <v>3</v>
      </c>
      <c r="O21">
        <v>4</v>
      </c>
      <c r="P21">
        <v>4</v>
      </c>
      <c r="Q21" s="5" t="s">
        <v>527</v>
      </c>
      <c r="R21" s="5"/>
      <c r="S21" s="5"/>
      <c r="T21" s="5"/>
      <c r="U21" s="5"/>
      <c r="V21" s="5"/>
      <c r="W21" s="5"/>
    </row>
    <row r="22" spans="1:23" x14ac:dyDescent="0.3">
      <c r="A22">
        <v>20</v>
      </c>
      <c r="B22" t="s">
        <v>73</v>
      </c>
      <c r="C22" t="s">
        <v>62</v>
      </c>
      <c r="D22" t="s">
        <v>63</v>
      </c>
      <c r="E22">
        <v>35.69</v>
      </c>
      <c r="F22">
        <v>139.75</v>
      </c>
      <c r="G22" t="s">
        <v>24</v>
      </c>
      <c r="H22" t="s">
        <v>20</v>
      </c>
      <c r="I22">
        <v>22</v>
      </c>
      <c r="J22">
        <v>3.8</v>
      </c>
      <c r="K22">
        <v>3.6</v>
      </c>
      <c r="L22">
        <v>3.6</v>
      </c>
      <c r="M22">
        <v>2</v>
      </c>
      <c r="N22">
        <v>4</v>
      </c>
      <c r="O22">
        <v>4</v>
      </c>
      <c r="P22">
        <v>3</v>
      </c>
      <c r="Q22" s="3">
        <f>AVERAGEIF(C:C,"Pakistan",L:L)</f>
        <v>3.3333333333333335</v>
      </c>
    </row>
    <row r="23" spans="1:23" x14ac:dyDescent="0.3">
      <c r="A23">
        <v>21</v>
      </c>
      <c r="B23" t="s">
        <v>74</v>
      </c>
      <c r="C23" t="s">
        <v>17</v>
      </c>
      <c r="D23" t="s">
        <v>75</v>
      </c>
      <c r="E23">
        <v>39.93</v>
      </c>
      <c r="F23">
        <v>116.39</v>
      </c>
      <c r="G23" t="s">
        <v>24</v>
      </c>
      <c r="H23" t="s">
        <v>20</v>
      </c>
      <c r="I23">
        <v>20</v>
      </c>
      <c r="J23">
        <v>3.9</v>
      </c>
      <c r="K23">
        <v>3.9</v>
      </c>
      <c r="L23">
        <v>3.9</v>
      </c>
      <c r="M23">
        <v>2</v>
      </c>
      <c r="N23">
        <v>3</v>
      </c>
      <c r="O23">
        <v>4</v>
      </c>
      <c r="P23">
        <v>5</v>
      </c>
    </row>
    <row r="24" spans="1:23" x14ac:dyDescent="0.3">
      <c r="A24">
        <v>22</v>
      </c>
      <c r="B24" t="s">
        <v>76</v>
      </c>
      <c r="C24" t="s">
        <v>22</v>
      </c>
      <c r="D24" t="s">
        <v>52</v>
      </c>
      <c r="E24">
        <v>41.85</v>
      </c>
      <c r="F24">
        <v>-87.65</v>
      </c>
      <c r="G24" t="s">
        <v>19</v>
      </c>
      <c r="H24" t="s">
        <v>20</v>
      </c>
      <c r="I24">
        <v>22</v>
      </c>
      <c r="J24">
        <v>3.6</v>
      </c>
      <c r="K24">
        <v>3.6</v>
      </c>
      <c r="L24">
        <v>3.9</v>
      </c>
      <c r="M24">
        <v>5</v>
      </c>
      <c r="N24">
        <v>3</v>
      </c>
      <c r="O24">
        <v>4</v>
      </c>
      <c r="P24">
        <v>4</v>
      </c>
    </row>
    <row r="25" spans="1:23" x14ac:dyDescent="0.3">
      <c r="A25">
        <v>23</v>
      </c>
      <c r="B25" t="s">
        <v>77</v>
      </c>
      <c r="C25" t="s">
        <v>78</v>
      </c>
      <c r="D25" t="s">
        <v>79</v>
      </c>
      <c r="E25">
        <v>33.6</v>
      </c>
      <c r="F25">
        <v>73.069999999999993</v>
      </c>
      <c r="G25" t="s">
        <v>24</v>
      </c>
      <c r="H25" t="s">
        <v>20</v>
      </c>
      <c r="I25">
        <v>23</v>
      </c>
      <c r="J25">
        <v>3.8</v>
      </c>
      <c r="K25">
        <v>3.9</v>
      </c>
      <c r="L25">
        <v>3.8</v>
      </c>
      <c r="M25">
        <v>2</v>
      </c>
      <c r="N25">
        <v>2</v>
      </c>
      <c r="O25">
        <v>5</v>
      </c>
      <c r="P25">
        <v>4</v>
      </c>
    </row>
    <row r="26" spans="1:23" x14ac:dyDescent="0.3">
      <c r="A26">
        <v>24</v>
      </c>
      <c r="B26" t="s">
        <v>80</v>
      </c>
      <c r="C26" t="s">
        <v>17</v>
      </c>
      <c r="D26" t="s">
        <v>81</v>
      </c>
      <c r="E26">
        <v>35.9</v>
      </c>
      <c r="F26">
        <v>114.19</v>
      </c>
      <c r="G26" t="s">
        <v>24</v>
      </c>
      <c r="H26" t="s">
        <v>20</v>
      </c>
      <c r="I26">
        <v>23</v>
      </c>
      <c r="J26">
        <v>2.8</v>
      </c>
      <c r="K26">
        <v>3.5</v>
      </c>
      <c r="L26">
        <v>3.5</v>
      </c>
      <c r="M26">
        <v>4</v>
      </c>
      <c r="N26">
        <v>5</v>
      </c>
      <c r="O26">
        <v>4</v>
      </c>
      <c r="P26">
        <v>4</v>
      </c>
    </row>
    <row r="27" spans="1:23" x14ac:dyDescent="0.3">
      <c r="A27">
        <v>25</v>
      </c>
      <c r="B27" t="s">
        <v>82</v>
      </c>
      <c r="C27" t="s">
        <v>22</v>
      </c>
      <c r="D27" t="s">
        <v>83</v>
      </c>
      <c r="E27">
        <v>34.42</v>
      </c>
      <c r="F27">
        <v>-119.7</v>
      </c>
      <c r="G27" t="s">
        <v>19</v>
      </c>
      <c r="H27" t="s">
        <v>20</v>
      </c>
      <c r="I27">
        <v>22</v>
      </c>
      <c r="J27">
        <v>3.7</v>
      </c>
      <c r="K27">
        <v>3.7</v>
      </c>
      <c r="L27">
        <v>3.8</v>
      </c>
      <c r="M27">
        <v>5</v>
      </c>
      <c r="N27">
        <v>3</v>
      </c>
      <c r="O27">
        <v>4</v>
      </c>
      <c r="P27">
        <v>4</v>
      </c>
    </row>
    <row r="28" spans="1:23" x14ac:dyDescent="0.3">
      <c r="A28">
        <v>26</v>
      </c>
      <c r="B28" t="s">
        <v>84</v>
      </c>
      <c r="C28" t="s">
        <v>22</v>
      </c>
      <c r="D28" t="s">
        <v>85</v>
      </c>
      <c r="E28">
        <v>37.799999999999997</v>
      </c>
      <c r="F28">
        <v>-121.22</v>
      </c>
      <c r="G28" t="s">
        <v>19</v>
      </c>
      <c r="H28" t="s">
        <v>20</v>
      </c>
      <c r="I28">
        <v>22</v>
      </c>
      <c r="J28">
        <v>3.1</v>
      </c>
      <c r="K28">
        <v>2.9</v>
      </c>
      <c r="L28">
        <v>3.2</v>
      </c>
      <c r="M28">
        <v>5</v>
      </c>
      <c r="N28">
        <v>3</v>
      </c>
      <c r="O28">
        <v>5</v>
      </c>
      <c r="P28">
        <v>5</v>
      </c>
    </row>
    <row r="29" spans="1:23" x14ac:dyDescent="0.3">
      <c r="A29">
        <v>27</v>
      </c>
      <c r="B29" t="s">
        <v>86</v>
      </c>
      <c r="C29" t="s">
        <v>22</v>
      </c>
      <c r="D29" t="s">
        <v>87</v>
      </c>
      <c r="E29">
        <v>47.14</v>
      </c>
      <c r="F29">
        <v>-122.27</v>
      </c>
      <c r="G29" t="s">
        <v>24</v>
      </c>
      <c r="H29" t="s">
        <v>20</v>
      </c>
      <c r="I29">
        <v>21</v>
      </c>
      <c r="J29">
        <v>3.9</v>
      </c>
      <c r="K29">
        <v>3.7</v>
      </c>
      <c r="L29">
        <v>3.3</v>
      </c>
      <c r="M29">
        <v>5</v>
      </c>
      <c r="N29">
        <v>4</v>
      </c>
      <c r="O29">
        <v>5</v>
      </c>
      <c r="P29">
        <v>5</v>
      </c>
    </row>
    <row r="30" spans="1:23" x14ac:dyDescent="0.3">
      <c r="A30">
        <v>28</v>
      </c>
      <c r="B30" t="s">
        <v>88</v>
      </c>
      <c r="C30" t="s">
        <v>22</v>
      </c>
      <c r="D30" t="s">
        <v>89</v>
      </c>
      <c r="E30">
        <v>37.64</v>
      </c>
      <c r="F30">
        <v>-121</v>
      </c>
      <c r="G30" t="s">
        <v>19</v>
      </c>
      <c r="H30" t="s">
        <v>20</v>
      </c>
      <c r="I30">
        <v>23</v>
      </c>
      <c r="J30">
        <v>3.4</v>
      </c>
      <c r="K30">
        <v>3.2</v>
      </c>
      <c r="L30">
        <v>3.7</v>
      </c>
      <c r="M30">
        <v>5</v>
      </c>
      <c r="N30">
        <v>5</v>
      </c>
      <c r="O30">
        <v>4</v>
      </c>
      <c r="P30">
        <v>5</v>
      </c>
    </row>
    <row r="31" spans="1:23" x14ac:dyDescent="0.3">
      <c r="A31">
        <v>29</v>
      </c>
      <c r="B31" t="s">
        <v>90</v>
      </c>
      <c r="C31" t="s">
        <v>91</v>
      </c>
      <c r="D31" t="s">
        <v>92</v>
      </c>
      <c r="E31">
        <v>18.47</v>
      </c>
      <c r="F31">
        <v>-69.900000000000006</v>
      </c>
      <c r="G31" t="s">
        <v>19</v>
      </c>
      <c r="H31" t="s">
        <v>20</v>
      </c>
      <c r="I31">
        <v>22</v>
      </c>
      <c r="J31">
        <v>3.4</v>
      </c>
      <c r="K31">
        <v>3.8</v>
      </c>
      <c r="L31">
        <v>4</v>
      </c>
      <c r="M31">
        <v>4</v>
      </c>
      <c r="N31">
        <v>5</v>
      </c>
      <c r="O31">
        <v>5</v>
      </c>
      <c r="P31">
        <v>5</v>
      </c>
    </row>
    <row r="32" spans="1:23" x14ac:dyDescent="0.3">
      <c r="A32">
        <v>30</v>
      </c>
      <c r="B32" t="s">
        <v>93</v>
      </c>
      <c r="C32" t="s">
        <v>22</v>
      </c>
      <c r="D32" t="s">
        <v>94</v>
      </c>
      <c r="E32">
        <v>38.58</v>
      </c>
      <c r="F32">
        <v>-121.49</v>
      </c>
      <c r="G32" t="s">
        <v>19</v>
      </c>
      <c r="H32" t="s">
        <v>20</v>
      </c>
      <c r="I32">
        <v>22</v>
      </c>
      <c r="J32">
        <v>3.4</v>
      </c>
      <c r="K32">
        <v>3.9</v>
      </c>
      <c r="L32">
        <v>3.6</v>
      </c>
      <c r="M32">
        <v>5</v>
      </c>
      <c r="N32">
        <v>3</v>
      </c>
      <c r="O32">
        <v>5</v>
      </c>
      <c r="P32">
        <v>5</v>
      </c>
    </row>
    <row r="33" spans="1:16" x14ac:dyDescent="0.3">
      <c r="A33">
        <v>31</v>
      </c>
      <c r="B33" t="s">
        <v>95</v>
      </c>
      <c r="C33" t="s">
        <v>22</v>
      </c>
      <c r="D33" t="s">
        <v>65</v>
      </c>
      <c r="E33">
        <v>34.049999999999997</v>
      </c>
      <c r="F33">
        <v>-118.24</v>
      </c>
      <c r="G33" t="s">
        <v>19</v>
      </c>
      <c r="H33" t="s">
        <v>20</v>
      </c>
      <c r="I33">
        <v>22</v>
      </c>
      <c r="J33">
        <v>2.2999999999999998</v>
      </c>
      <c r="K33">
        <v>3.9</v>
      </c>
      <c r="L33">
        <v>3.8</v>
      </c>
      <c r="M33">
        <v>5</v>
      </c>
      <c r="N33">
        <v>5</v>
      </c>
      <c r="O33">
        <v>3</v>
      </c>
      <c r="P33">
        <v>4</v>
      </c>
    </row>
    <row r="34" spans="1:16" x14ac:dyDescent="0.3">
      <c r="A34">
        <v>32</v>
      </c>
      <c r="B34" t="s">
        <v>96</v>
      </c>
      <c r="C34" t="s">
        <v>22</v>
      </c>
      <c r="D34" t="s">
        <v>97</v>
      </c>
      <c r="E34">
        <v>33.450000000000003</v>
      </c>
      <c r="F34">
        <v>-112.07</v>
      </c>
      <c r="G34" t="s">
        <v>24</v>
      </c>
      <c r="H34" t="s">
        <v>20</v>
      </c>
      <c r="I34">
        <v>21</v>
      </c>
      <c r="J34">
        <v>3.8</v>
      </c>
      <c r="K34">
        <v>3.7</v>
      </c>
      <c r="L34">
        <v>3.7</v>
      </c>
      <c r="M34">
        <v>5</v>
      </c>
      <c r="N34">
        <v>4</v>
      </c>
      <c r="O34">
        <v>5</v>
      </c>
      <c r="P34">
        <v>3</v>
      </c>
    </row>
    <row r="35" spans="1:16" x14ac:dyDescent="0.3">
      <c r="A35">
        <v>33</v>
      </c>
      <c r="B35" t="s">
        <v>98</v>
      </c>
      <c r="C35" t="s">
        <v>22</v>
      </c>
      <c r="D35" t="s">
        <v>65</v>
      </c>
      <c r="E35">
        <v>34.049999999999997</v>
      </c>
      <c r="F35">
        <v>-118.24</v>
      </c>
      <c r="G35" t="s">
        <v>24</v>
      </c>
      <c r="H35" t="s">
        <v>20</v>
      </c>
      <c r="I35">
        <v>21</v>
      </c>
      <c r="J35">
        <v>3.4</v>
      </c>
      <c r="K35">
        <v>3.8</v>
      </c>
      <c r="L35">
        <v>3.6</v>
      </c>
      <c r="M35">
        <v>5</v>
      </c>
      <c r="N35">
        <v>4</v>
      </c>
      <c r="O35">
        <v>5</v>
      </c>
      <c r="P35">
        <v>4</v>
      </c>
    </row>
    <row r="36" spans="1:16" x14ac:dyDescent="0.3">
      <c r="A36">
        <v>34</v>
      </c>
      <c r="B36" t="s">
        <v>99</v>
      </c>
      <c r="C36" t="s">
        <v>22</v>
      </c>
      <c r="D36" t="s">
        <v>100</v>
      </c>
      <c r="E36">
        <v>42.33</v>
      </c>
      <c r="F36">
        <v>-83.05</v>
      </c>
      <c r="G36" t="s">
        <v>24</v>
      </c>
      <c r="H36" t="s">
        <v>20</v>
      </c>
      <c r="I36">
        <v>23</v>
      </c>
      <c r="J36">
        <v>3.3</v>
      </c>
      <c r="K36">
        <v>3.8</v>
      </c>
      <c r="L36">
        <v>3.5</v>
      </c>
      <c r="M36">
        <v>5</v>
      </c>
      <c r="N36">
        <v>2</v>
      </c>
      <c r="O36">
        <v>3</v>
      </c>
      <c r="P36">
        <v>4</v>
      </c>
    </row>
    <row r="37" spans="1:16" x14ac:dyDescent="0.3">
      <c r="A37">
        <v>35</v>
      </c>
      <c r="B37" t="s">
        <v>101</v>
      </c>
      <c r="C37" t="s">
        <v>102</v>
      </c>
      <c r="D37" t="s">
        <v>103</v>
      </c>
      <c r="E37">
        <v>26.47</v>
      </c>
      <c r="F37">
        <v>80.349999999999994</v>
      </c>
      <c r="G37" t="s">
        <v>19</v>
      </c>
      <c r="H37" t="s">
        <v>20</v>
      </c>
      <c r="I37">
        <v>22</v>
      </c>
      <c r="J37">
        <v>3.3</v>
      </c>
      <c r="K37">
        <v>3.8</v>
      </c>
      <c r="L37">
        <v>3.7</v>
      </c>
      <c r="M37">
        <v>3</v>
      </c>
      <c r="N37">
        <v>4</v>
      </c>
      <c r="O37">
        <v>4</v>
      </c>
      <c r="P37">
        <v>4</v>
      </c>
    </row>
    <row r="38" spans="1:16" x14ac:dyDescent="0.3">
      <c r="A38">
        <v>36</v>
      </c>
      <c r="B38" t="s">
        <v>104</v>
      </c>
      <c r="C38" t="s">
        <v>105</v>
      </c>
      <c r="D38" t="s">
        <v>106</v>
      </c>
      <c r="E38">
        <v>-12.05</v>
      </c>
      <c r="F38">
        <v>-77.05</v>
      </c>
      <c r="G38" t="s">
        <v>24</v>
      </c>
      <c r="H38" t="s">
        <v>20</v>
      </c>
      <c r="I38">
        <v>22</v>
      </c>
      <c r="J38">
        <v>3.7</v>
      </c>
      <c r="K38">
        <v>3.1</v>
      </c>
      <c r="L38">
        <v>3</v>
      </c>
      <c r="M38">
        <v>3</v>
      </c>
      <c r="N38">
        <v>5</v>
      </c>
      <c r="O38">
        <v>5</v>
      </c>
      <c r="P38">
        <v>5</v>
      </c>
    </row>
    <row r="39" spans="1:16" x14ac:dyDescent="0.3">
      <c r="A39">
        <v>37</v>
      </c>
      <c r="B39" t="s">
        <v>107</v>
      </c>
      <c r="C39" t="s">
        <v>62</v>
      </c>
      <c r="D39" t="s">
        <v>63</v>
      </c>
      <c r="E39">
        <v>35.69</v>
      </c>
      <c r="F39">
        <v>139.75</v>
      </c>
      <c r="G39" t="s">
        <v>19</v>
      </c>
      <c r="H39" t="s">
        <v>20</v>
      </c>
      <c r="I39">
        <v>22</v>
      </c>
      <c r="J39">
        <v>3.8</v>
      </c>
      <c r="K39">
        <v>4</v>
      </c>
      <c r="L39">
        <v>3.7</v>
      </c>
      <c r="M39">
        <v>4</v>
      </c>
      <c r="N39">
        <v>5</v>
      </c>
      <c r="O39">
        <v>4</v>
      </c>
      <c r="P39">
        <v>5</v>
      </c>
    </row>
    <row r="40" spans="1:16" x14ac:dyDescent="0.3">
      <c r="A40">
        <v>38</v>
      </c>
      <c r="B40" t="s">
        <v>108</v>
      </c>
      <c r="C40" t="s">
        <v>22</v>
      </c>
      <c r="D40" t="s">
        <v>109</v>
      </c>
      <c r="E40">
        <v>40.71</v>
      </c>
      <c r="F40">
        <v>-74.010000000000005</v>
      </c>
      <c r="G40" t="s">
        <v>24</v>
      </c>
      <c r="H40" t="s">
        <v>20</v>
      </c>
      <c r="I40">
        <v>24</v>
      </c>
      <c r="J40">
        <v>3.3</v>
      </c>
      <c r="K40">
        <v>3.3</v>
      </c>
      <c r="L40">
        <v>3.6</v>
      </c>
      <c r="M40">
        <v>5</v>
      </c>
      <c r="N40">
        <v>4</v>
      </c>
      <c r="O40">
        <v>5</v>
      </c>
      <c r="P40">
        <v>5</v>
      </c>
    </row>
    <row r="41" spans="1:16" x14ac:dyDescent="0.3">
      <c r="A41">
        <v>39</v>
      </c>
      <c r="B41" t="s">
        <v>110</v>
      </c>
      <c r="C41" t="s">
        <v>57</v>
      </c>
      <c r="D41" t="s">
        <v>57</v>
      </c>
      <c r="E41">
        <v>19.43</v>
      </c>
      <c r="F41">
        <v>-99.14</v>
      </c>
      <c r="G41" t="s">
        <v>19</v>
      </c>
      <c r="H41" t="s">
        <v>20</v>
      </c>
      <c r="I41">
        <v>22</v>
      </c>
      <c r="J41">
        <v>3</v>
      </c>
      <c r="K41">
        <v>2.2999999999999998</v>
      </c>
      <c r="L41">
        <v>3.9</v>
      </c>
      <c r="M41">
        <v>4</v>
      </c>
      <c r="N41">
        <v>2</v>
      </c>
      <c r="O41">
        <v>4</v>
      </c>
      <c r="P41">
        <v>4</v>
      </c>
    </row>
    <row r="42" spans="1:16" x14ac:dyDescent="0.3">
      <c r="A42">
        <v>40</v>
      </c>
      <c r="B42" t="s">
        <v>111</v>
      </c>
      <c r="C42" t="s">
        <v>22</v>
      </c>
      <c r="D42" t="s">
        <v>65</v>
      </c>
      <c r="E42">
        <v>34.049999999999997</v>
      </c>
      <c r="F42">
        <v>-118.24</v>
      </c>
      <c r="G42" t="s">
        <v>19</v>
      </c>
      <c r="H42" t="s">
        <v>20</v>
      </c>
      <c r="I42">
        <v>22</v>
      </c>
      <c r="J42">
        <v>3.7</v>
      </c>
      <c r="K42">
        <v>3</v>
      </c>
      <c r="L42">
        <v>3.8</v>
      </c>
      <c r="M42">
        <v>5</v>
      </c>
      <c r="N42">
        <v>4</v>
      </c>
      <c r="O42">
        <v>5</v>
      </c>
      <c r="P42">
        <v>4</v>
      </c>
    </row>
    <row r="43" spans="1:16" x14ac:dyDescent="0.3">
      <c r="A43">
        <v>41</v>
      </c>
      <c r="B43" t="s">
        <v>112</v>
      </c>
      <c r="C43" t="s">
        <v>102</v>
      </c>
      <c r="D43" t="s">
        <v>113</v>
      </c>
      <c r="E43">
        <v>28.6</v>
      </c>
      <c r="F43">
        <v>77.2</v>
      </c>
      <c r="G43" t="s">
        <v>19</v>
      </c>
      <c r="H43" t="s">
        <v>20</v>
      </c>
      <c r="I43">
        <v>22</v>
      </c>
      <c r="J43">
        <v>1.7</v>
      </c>
      <c r="K43">
        <v>3.5</v>
      </c>
      <c r="L43">
        <v>3.9</v>
      </c>
      <c r="M43">
        <v>2</v>
      </c>
      <c r="N43">
        <v>5</v>
      </c>
      <c r="O43">
        <v>5</v>
      </c>
      <c r="P43">
        <v>4</v>
      </c>
    </row>
    <row r="44" spans="1:16" x14ac:dyDescent="0.3">
      <c r="A44">
        <v>42</v>
      </c>
      <c r="B44" t="s">
        <v>114</v>
      </c>
      <c r="C44" t="s">
        <v>115</v>
      </c>
      <c r="D44" t="s">
        <v>116</v>
      </c>
      <c r="E44">
        <v>55.75</v>
      </c>
      <c r="F44">
        <v>37.619999999999997</v>
      </c>
      <c r="G44" t="s">
        <v>19</v>
      </c>
      <c r="H44" t="s">
        <v>20</v>
      </c>
      <c r="I44">
        <v>21</v>
      </c>
      <c r="J44">
        <v>3.9</v>
      </c>
      <c r="K44">
        <v>3.4</v>
      </c>
      <c r="L44">
        <v>2.6</v>
      </c>
      <c r="M44">
        <v>4</v>
      </c>
      <c r="N44">
        <v>4</v>
      </c>
      <c r="O44">
        <v>4</v>
      </c>
      <c r="P44">
        <v>5</v>
      </c>
    </row>
    <row r="45" spans="1:16" x14ac:dyDescent="0.3">
      <c r="A45">
        <v>43</v>
      </c>
      <c r="B45" t="s">
        <v>117</v>
      </c>
      <c r="C45" t="s">
        <v>62</v>
      </c>
      <c r="D45" t="s">
        <v>63</v>
      </c>
      <c r="E45">
        <v>35.69</v>
      </c>
      <c r="F45">
        <v>139.75</v>
      </c>
      <c r="G45" t="s">
        <v>24</v>
      </c>
      <c r="H45" t="s">
        <v>20</v>
      </c>
      <c r="I45">
        <v>22</v>
      </c>
      <c r="J45">
        <v>3.9</v>
      </c>
      <c r="K45">
        <v>2.9</v>
      </c>
      <c r="L45">
        <v>3.3</v>
      </c>
      <c r="M45">
        <v>4</v>
      </c>
      <c r="N45">
        <v>5</v>
      </c>
      <c r="O45">
        <v>5</v>
      </c>
      <c r="P45">
        <v>5</v>
      </c>
    </row>
    <row r="46" spans="1:16" x14ac:dyDescent="0.3">
      <c r="A46">
        <v>44</v>
      </c>
      <c r="B46" t="s">
        <v>118</v>
      </c>
      <c r="C46" t="s">
        <v>22</v>
      </c>
      <c r="D46" t="s">
        <v>119</v>
      </c>
      <c r="E46">
        <v>37.549999999999997</v>
      </c>
      <c r="F46">
        <v>-121.99</v>
      </c>
      <c r="G46" t="s">
        <v>19</v>
      </c>
      <c r="H46" t="s">
        <v>20</v>
      </c>
      <c r="I46">
        <v>24</v>
      </c>
      <c r="J46">
        <v>3.4</v>
      </c>
      <c r="K46">
        <v>3.2</v>
      </c>
      <c r="L46">
        <v>3.8</v>
      </c>
      <c r="M46">
        <v>5</v>
      </c>
      <c r="N46">
        <v>4</v>
      </c>
      <c r="O46">
        <v>4</v>
      </c>
      <c r="P46">
        <v>5</v>
      </c>
    </row>
    <row r="47" spans="1:16" x14ac:dyDescent="0.3">
      <c r="A47">
        <v>45</v>
      </c>
      <c r="B47" t="s">
        <v>120</v>
      </c>
      <c r="C47" t="s">
        <v>22</v>
      </c>
      <c r="D47" t="s">
        <v>121</v>
      </c>
      <c r="E47">
        <v>37.89</v>
      </c>
      <c r="F47">
        <v>-122.12</v>
      </c>
      <c r="G47" t="s">
        <v>19</v>
      </c>
      <c r="H47" t="s">
        <v>20</v>
      </c>
      <c r="I47">
        <v>23</v>
      </c>
      <c r="J47">
        <v>3.6</v>
      </c>
      <c r="K47">
        <v>3.3</v>
      </c>
      <c r="L47">
        <v>3.5</v>
      </c>
      <c r="M47">
        <v>5</v>
      </c>
      <c r="N47">
        <v>3</v>
      </c>
      <c r="O47">
        <v>3</v>
      </c>
      <c r="P47">
        <v>3</v>
      </c>
    </row>
    <row r="48" spans="1:16" x14ac:dyDescent="0.3">
      <c r="A48">
        <v>46</v>
      </c>
      <c r="B48" t="s">
        <v>122</v>
      </c>
      <c r="C48" t="s">
        <v>62</v>
      </c>
      <c r="D48" t="s">
        <v>63</v>
      </c>
      <c r="E48">
        <v>35.69</v>
      </c>
      <c r="F48">
        <v>139.75</v>
      </c>
      <c r="G48" t="s">
        <v>24</v>
      </c>
      <c r="H48" t="s">
        <v>20</v>
      </c>
      <c r="I48">
        <v>20</v>
      </c>
      <c r="J48">
        <v>2.8</v>
      </c>
      <c r="K48">
        <v>3.1</v>
      </c>
      <c r="L48">
        <v>3.8</v>
      </c>
      <c r="M48">
        <v>4</v>
      </c>
      <c r="N48">
        <v>3</v>
      </c>
      <c r="O48">
        <v>4</v>
      </c>
      <c r="P48">
        <v>5</v>
      </c>
    </row>
    <row r="49" spans="1:16" x14ac:dyDescent="0.3">
      <c r="A49">
        <v>47</v>
      </c>
      <c r="B49" t="s">
        <v>123</v>
      </c>
      <c r="C49" t="s">
        <v>22</v>
      </c>
      <c r="D49" t="s">
        <v>124</v>
      </c>
      <c r="E49">
        <v>40.61</v>
      </c>
      <c r="F49">
        <v>-111.94</v>
      </c>
      <c r="G49" t="s">
        <v>19</v>
      </c>
      <c r="H49" t="s">
        <v>20</v>
      </c>
      <c r="I49">
        <v>22</v>
      </c>
      <c r="J49">
        <v>2.1</v>
      </c>
      <c r="K49">
        <v>4</v>
      </c>
      <c r="L49">
        <v>3.4</v>
      </c>
      <c r="M49">
        <v>5</v>
      </c>
      <c r="N49">
        <v>4</v>
      </c>
      <c r="O49">
        <v>5</v>
      </c>
      <c r="P49">
        <v>4</v>
      </c>
    </row>
    <row r="50" spans="1:16" x14ac:dyDescent="0.3">
      <c r="A50">
        <v>48</v>
      </c>
      <c r="B50" t="s">
        <v>125</v>
      </c>
      <c r="C50" t="s">
        <v>22</v>
      </c>
      <c r="D50" t="s">
        <v>65</v>
      </c>
      <c r="E50">
        <v>34.049999999999997</v>
      </c>
      <c r="F50">
        <v>-118.24</v>
      </c>
      <c r="G50" t="s">
        <v>24</v>
      </c>
      <c r="H50" t="s">
        <v>20</v>
      </c>
      <c r="I50">
        <v>23</v>
      </c>
      <c r="J50">
        <v>2.2999999999999998</v>
      </c>
      <c r="K50">
        <v>2.8</v>
      </c>
      <c r="L50">
        <v>3.5</v>
      </c>
      <c r="M50">
        <v>5</v>
      </c>
      <c r="N50">
        <v>4</v>
      </c>
      <c r="O50">
        <v>4</v>
      </c>
      <c r="P50">
        <v>4</v>
      </c>
    </row>
    <row r="51" spans="1:16" x14ac:dyDescent="0.3">
      <c r="A51">
        <v>49</v>
      </c>
      <c r="B51" t="s">
        <v>126</v>
      </c>
      <c r="C51" t="s">
        <v>57</v>
      </c>
      <c r="D51" t="s">
        <v>127</v>
      </c>
      <c r="E51">
        <v>32.65</v>
      </c>
      <c r="F51">
        <v>-115.47</v>
      </c>
      <c r="G51" t="s">
        <v>19</v>
      </c>
      <c r="H51" t="s">
        <v>20</v>
      </c>
      <c r="I51">
        <v>22</v>
      </c>
      <c r="J51">
        <v>3.6</v>
      </c>
      <c r="K51">
        <v>3.8</v>
      </c>
      <c r="L51">
        <v>2.8</v>
      </c>
      <c r="M51">
        <v>2</v>
      </c>
      <c r="N51">
        <v>4</v>
      </c>
      <c r="O51">
        <v>4</v>
      </c>
      <c r="P51">
        <v>4</v>
      </c>
    </row>
    <row r="52" spans="1:16" x14ac:dyDescent="0.3">
      <c r="A52">
        <v>50</v>
      </c>
      <c r="B52" t="s">
        <v>128</v>
      </c>
      <c r="C52" t="s">
        <v>57</v>
      </c>
      <c r="D52" t="s">
        <v>129</v>
      </c>
      <c r="E52">
        <v>18.45</v>
      </c>
      <c r="F52">
        <v>-97.38</v>
      </c>
      <c r="G52" t="s">
        <v>24</v>
      </c>
      <c r="H52" t="s">
        <v>20</v>
      </c>
      <c r="I52">
        <v>23</v>
      </c>
      <c r="J52">
        <v>2.4</v>
      </c>
      <c r="K52">
        <v>3.1</v>
      </c>
      <c r="L52">
        <v>2.7</v>
      </c>
      <c r="M52">
        <v>1</v>
      </c>
      <c r="N52">
        <v>5</v>
      </c>
      <c r="O52">
        <v>5</v>
      </c>
      <c r="P52">
        <v>4</v>
      </c>
    </row>
    <row r="53" spans="1:16" x14ac:dyDescent="0.3">
      <c r="A53">
        <v>51</v>
      </c>
      <c r="B53" t="s">
        <v>130</v>
      </c>
      <c r="C53" t="s">
        <v>22</v>
      </c>
      <c r="D53" t="s">
        <v>65</v>
      </c>
      <c r="E53">
        <v>34.049999999999997</v>
      </c>
      <c r="F53">
        <v>-118.24</v>
      </c>
      <c r="G53" t="s">
        <v>19</v>
      </c>
      <c r="H53" t="s">
        <v>20</v>
      </c>
      <c r="I53">
        <v>22</v>
      </c>
      <c r="J53">
        <v>3.2</v>
      </c>
      <c r="K53">
        <v>2.2000000000000002</v>
      </c>
      <c r="L53">
        <v>3.5</v>
      </c>
      <c r="M53">
        <v>5</v>
      </c>
      <c r="N53">
        <v>5</v>
      </c>
      <c r="O53">
        <v>3</v>
      </c>
      <c r="P53">
        <v>5</v>
      </c>
    </row>
    <row r="54" spans="1:16" x14ac:dyDescent="0.3">
      <c r="A54">
        <v>52</v>
      </c>
      <c r="B54" t="s">
        <v>131</v>
      </c>
      <c r="C54" t="s">
        <v>132</v>
      </c>
      <c r="D54" t="s">
        <v>133</v>
      </c>
      <c r="E54">
        <v>40.409999999999997</v>
      </c>
      <c r="F54">
        <v>-3.69</v>
      </c>
      <c r="G54" t="s">
        <v>24</v>
      </c>
      <c r="H54" t="s">
        <v>20</v>
      </c>
      <c r="I54">
        <v>21</v>
      </c>
      <c r="J54">
        <v>3.5</v>
      </c>
      <c r="K54">
        <v>3.5</v>
      </c>
      <c r="L54">
        <v>3.4</v>
      </c>
      <c r="M54">
        <v>2</v>
      </c>
      <c r="N54">
        <v>3</v>
      </c>
      <c r="O54">
        <v>5</v>
      </c>
      <c r="P54">
        <v>5</v>
      </c>
    </row>
    <row r="55" spans="1:16" x14ac:dyDescent="0.3">
      <c r="A55">
        <v>53</v>
      </c>
      <c r="B55" t="s">
        <v>134</v>
      </c>
      <c r="C55" t="s">
        <v>22</v>
      </c>
      <c r="D55" t="s">
        <v>65</v>
      </c>
      <c r="E55">
        <v>34.049999999999997</v>
      </c>
      <c r="F55">
        <v>-118.24</v>
      </c>
      <c r="G55" t="s">
        <v>19</v>
      </c>
      <c r="H55" t="s">
        <v>20</v>
      </c>
      <c r="I55">
        <v>23</v>
      </c>
      <c r="J55">
        <v>1.9</v>
      </c>
      <c r="K55">
        <v>2.8</v>
      </c>
      <c r="L55">
        <v>3.2</v>
      </c>
      <c r="M55">
        <v>5</v>
      </c>
      <c r="N55">
        <v>4</v>
      </c>
      <c r="O55">
        <v>5</v>
      </c>
      <c r="P55">
        <v>5</v>
      </c>
    </row>
    <row r="56" spans="1:16" x14ac:dyDescent="0.3">
      <c r="A56">
        <v>54</v>
      </c>
      <c r="B56" t="s">
        <v>135</v>
      </c>
      <c r="C56" t="s">
        <v>22</v>
      </c>
      <c r="D56" t="s">
        <v>136</v>
      </c>
      <c r="E56">
        <v>37.909999999999997</v>
      </c>
      <c r="F56">
        <v>-122.06</v>
      </c>
      <c r="G56" t="s">
        <v>19</v>
      </c>
      <c r="H56" t="s">
        <v>20</v>
      </c>
      <c r="I56">
        <v>22</v>
      </c>
      <c r="J56">
        <v>3.9</v>
      </c>
      <c r="K56">
        <v>3.7</v>
      </c>
      <c r="L56">
        <v>4</v>
      </c>
      <c r="M56">
        <v>5</v>
      </c>
      <c r="N56">
        <v>3</v>
      </c>
      <c r="O56">
        <v>5</v>
      </c>
      <c r="P56">
        <v>3</v>
      </c>
    </row>
    <row r="57" spans="1:16" x14ac:dyDescent="0.3">
      <c r="A57">
        <v>55</v>
      </c>
      <c r="B57" t="s">
        <v>137</v>
      </c>
      <c r="C57" t="s">
        <v>22</v>
      </c>
      <c r="D57" t="s">
        <v>138</v>
      </c>
      <c r="E57">
        <v>35.15</v>
      </c>
      <c r="F57">
        <v>-90.05</v>
      </c>
      <c r="G57" t="s">
        <v>19</v>
      </c>
      <c r="H57" t="s">
        <v>20</v>
      </c>
      <c r="I57">
        <v>23</v>
      </c>
      <c r="J57">
        <v>2.9</v>
      </c>
      <c r="K57">
        <v>3.6</v>
      </c>
      <c r="L57">
        <v>3.1</v>
      </c>
      <c r="M57">
        <v>5</v>
      </c>
      <c r="N57">
        <v>5</v>
      </c>
      <c r="O57">
        <v>5</v>
      </c>
      <c r="P57">
        <v>2</v>
      </c>
    </row>
    <row r="58" spans="1:16" x14ac:dyDescent="0.3">
      <c r="A58">
        <v>56</v>
      </c>
      <c r="B58" t="s">
        <v>139</v>
      </c>
      <c r="C58" t="s">
        <v>22</v>
      </c>
      <c r="D58" t="s">
        <v>140</v>
      </c>
      <c r="E58">
        <v>35.229999999999997</v>
      </c>
      <c r="F58">
        <v>-80.84</v>
      </c>
      <c r="G58" t="s">
        <v>24</v>
      </c>
      <c r="H58" t="s">
        <v>20</v>
      </c>
      <c r="I58">
        <v>23</v>
      </c>
      <c r="J58">
        <v>3.1</v>
      </c>
      <c r="K58">
        <v>3.8</v>
      </c>
      <c r="L58">
        <v>4</v>
      </c>
      <c r="M58">
        <v>5</v>
      </c>
      <c r="N58">
        <v>4</v>
      </c>
      <c r="O58">
        <v>5</v>
      </c>
      <c r="P58">
        <v>4</v>
      </c>
    </row>
    <row r="59" spans="1:16" x14ac:dyDescent="0.3">
      <c r="A59">
        <v>57</v>
      </c>
      <c r="B59" t="s">
        <v>141</v>
      </c>
      <c r="C59" t="s">
        <v>22</v>
      </c>
      <c r="D59" t="s">
        <v>142</v>
      </c>
      <c r="E59">
        <v>32.72</v>
      </c>
      <c r="F59">
        <v>-117.16</v>
      </c>
      <c r="G59" t="s">
        <v>19</v>
      </c>
      <c r="H59" t="s">
        <v>20</v>
      </c>
      <c r="I59">
        <v>22</v>
      </c>
      <c r="J59">
        <v>3.5</v>
      </c>
      <c r="K59">
        <v>2.2999999999999998</v>
      </c>
      <c r="L59">
        <v>3.7</v>
      </c>
      <c r="M59">
        <v>5</v>
      </c>
      <c r="N59">
        <v>4</v>
      </c>
      <c r="O59">
        <v>5</v>
      </c>
      <c r="P59">
        <v>4</v>
      </c>
    </row>
    <row r="60" spans="1:16" x14ac:dyDescent="0.3">
      <c r="A60">
        <v>58</v>
      </c>
      <c r="B60" t="s">
        <v>143</v>
      </c>
      <c r="C60" t="s">
        <v>22</v>
      </c>
      <c r="D60" t="s">
        <v>65</v>
      </c>
      <c r="E60">
        <v>34.049999999999997</v>
      </c>
      <c r="F60">
        <v>-118.24</v>
      </c>
      <c r="G60" t="s">
        <v>24</v>
      </c>
      <c r="H60" t="s">
        <v>20</v>
      </c>
      <c r="I60">
        <v>20</v>
      </c>
      <c r="J60">
        <v>2.1</v>
      </c>
      <c r="K60">
        <v>3.9</v>
      </c>
      <c r="L60">
        <v>3.9</v>
      </c>
      <c r="M60">
        <v>5</v>
      </c>
      <c r="N60">
        <v>5</v>
      </c>
      <c r="O60">
        <v>5</v>
      </c>
      <c r="P60">
        <v>5</v>
      </c>
    </row>
    <row r="61" spans="1:16" x14ac:dyDescent="0.3">
      <c r="A61">
        <v>59</v>
      </c>
      <c r="B61" t="s">
        <v>144</v>
      </c>
      <c r="C61" t="s">
        <v>78</v>
      </c>
      <c r="D61" t="s">
        <v>145</v>
      </c>
      <c r="E61">
        <v>34.06</v>
      </c>
      <c r="F61">
        <v>72.89</v>
      </c>
      <c r="G61" t="s">
        <v>24</v>
      </c>
      <c r="H61" t="s">
        <v>20</v>
      </c>
      <c r="I61">
        <v>22</v>
      </c>
      <c r="J61">
        <v>3.1</v>
      </c>
      <c r="K61">
        <v>2.1</v>
      </c>
      <c r="L61">
        <v>2.2999999999999998</v>
      </c>
      <c r="M61">
        <v>4</v>
      </c>
      <c r="N61">
        <v>4</v>
      </c>
      <c r="O61">
        <v>4</v>
      </c>
      <c r="P61">
        <v>4</v>
      </c>
    </row>
    <row r="62" spans="1:16" x14ac:dyDescent="0.3">
      <c r="A62">
        <v>60</v>
      </c>
      <c r="B62" t="s">
        <v>146</v>
      </c>
      <c r="C62" t="s">
        <v>22</v>
      </c>
      <c r="D62" t="s">
        <v>65</v>
      </c>
      <c r="E62">
        <v>34.049999999999997</v>
      </c>
      <c r="F62">
        <v>-118.24</v>
      </c>
      <c r="G62" t="s">
        <v>19</v>
      </c>
      <c r="H62" t="s">
        <v>20</v>
      </c>
      <c r="I62">
        <v>20</v>
      </c>
      <c r="J62">
        <v>3.9</v>
      </c>
      <c r="K62">
        <v>3.7</v>
      </c>
      <c r="L62">
        <v>2.8</v>
      </c>
      <c r="M62">
        <v>5</v>
      </c>
      <c r="N62">
        <v>5</v>
      </c>
      <c r="O62">
        <v>3</v>
      </c>
      <c r="P62">
        <v>5</v>
      </c>
    </row>
    <row r="63" spans="1:16" x14ac:dyDescent="0.3">
      <c r="A63">
        <v>61</v>
      </c>
      <c r="B63" t="s">
        <v>147</v>
      </c>
      <c r="C63" t="s">
        <v>17</v>
      </c>
      <c r="D63" t="s">
        <v>148</v>
      </c>
      <c r="E63">
        <v>31.05</v>
      </c>
      <c r="F63">
        <v>121.4</v>
      </c>
      <c r="G63" t="s">
        <v>24</v>
      </c>
      <c r="H63" t="s">
        <v>20</v>
      </c>
      <c r="I63">
        <v>21</v>
      </c>
      <c r="J63">
        <v>3.6</v>
      </c>
      <c r="K63">
        <v>4</v>
      </c>
      <c r="L63">
        <v>3.1</v>
      </c>
      <c r="M63">
        <v>4</v>
      </c>
      <c r="N63">
        <v>4</v>
      </c>
      <c r="O63">
        <v>5</v>
      </c>
      <c r="P63">
        <v>4</v>
      </c>
    </row>
    <row r="64" spans="1:16" x14ac:dyDescent="0.3">
      <c r="A64">
        <v>62</v>
      </c>
      <c r="B64" t="s">
        <v>149</v>
      </c>
      <c r="C64" t="s">
        <v>22</v>
      </c>
      <c r="D64" t="s">
        <v>150</v>
      </c>
      <c r="E64">
        <v>37.340000000000003</v>
      </c>
      <c r="F64">
        <v>-121.89</v>
      </c>
      <c r="G64" t="s">
        <v>24</v>
      </c>
      <c r="H64" t="s">
        <v>20</v>
      </c>
      <c r="I64">
        <v>23</v>
      </c>
      <c r="J64">
        <v>3.6</v>
      </c>
      <c r="K64">
        <v>3.4</v>
      </c>
      <c r="L64">
        <v>2.8</v>
      </c>
      <c r="M64">
        <v>5</v>
      </c>
      <c r="N64">
        <v>2</v>
      </c>
      <c r="O64">
        <v>4</v>
      </c>
      <c r="P64">
        <v>4</v>
      </c>
    </row>
    <row r="65" spans="1:16" x14ac:dyDescent="0.3">
      <c r="A65">
        <v>63</v>
      </c>
      <c r="B65" t="s">
        <v>151</v>
      </c>
      <c r="C65" t="s">
        <v>22</v>
      </c>
      <c r="D65" t="s">
        <v>65</v>
      </c>
      <c r="E65">
        <v>34.049999999999997</v>
      </c>
      <c r="F65">
        <v>-118.24</v>
      </c>
      <c r="G65" t="s">
        <v>19</v>
      </c>
      <c r="H65" t="s">
        <v>20</v>
      </c>
      <c r="I65">
        <v>20</v>
      </c>
      <c r="J65">
        <v>2.7</v>
      </c>
      <c r="K65">
        <v>3.3</v>
      </c>
      <c r="L65">
        <v>3.3</v>
      </c>
      <c r="M65">
        <v>5</v>
      </c>
      <c r="N65">
        <v>4</v>
      </c>
      <c r="O65">
        <v>1</v>
      </c>
      <c r="P65">
        <v>4</v>
      </c>
    </row>
    <row r="66" spans="1:16" x14ac:dyDescent="0.3">
      <c r="A66">
        <v>64</v>
      </c>
      <c r="B66" t="s">
        <v>152</v>
      </c>
      <c r="C66" t="s">
        <v>22</v>
      </c>
      <c r="D66" t="s">
        <v>142</v>
      </c>
      <c r="E66">
        <v>32.72</v>
      </c>
      <c r="F66">
        <v>-117.16</v>
      </c>
      <c r="G66" t="s">
        <v>19</v>
      </c>
      <c r="H66" t="s">
        <v>20</v>
      </c>
      <c r="I66">
        <v>22</v>
      </c>
      <c r="J66">
        <v>3</v>
      </c>
      <c r="K66">
        <v>3.1</v>
      </c>
      <c r="L66">
        <v>3.1</v>
      </c>
      <c r="M66">
        <v>5</v>
      </c>
      <c r="N66">
        <v>3</v>
      </c>
      <c r="O66">
        <v>4</v>
      </c>
      <c r="P66">
        <v>4</v>
      </c>
    </row>
    <row r="67" spans="1:16" x14ac:dyDescent="0.3">
      <c r="A67">
        <v>65</v>
      </c>
      <c r="B67" t="s">
        <v>153</v>
      </c>
      <c r="C67" t="s">
        <v>154</v>
      </c>
      <c r="D67" t="s">
        <v>155</v>
      </c>
      <c r="E67">
        <v>52.25</v>
      </c>
      <c r="F67">
        <v>21</v>
      </c>
      <c r="G67" t="s">
        <v>24</v>
      </c>
      <c r="H67" t="s">
        <v>20</v>
      </c>
      <c r="I67">
        <v>21</v>
      </c>
      <c r="J67">
        <v>3.9</v>
      </c>
      <c r="K67">
        <v>3.8</v>
      </c>
      <c r="L67">
        <v>3</v>
      </c>
      <c r="M67">
        <v>3</v>
      </c>
      <c r="N67">
        <v>4</v>
      </c>
      <c r="O67">
        <v>3</v>
      </c>
      <c r="P67">
        <v>4</v>
      </c>
    </row>
    <row r="68" spans="1:16" x14ac:dyDescent="0.3">
      <c r="A68">
        <v>66</v>
      </c>
      <c r="B68" t="s">
        <v>156</v>
      </c>
      <c r="C68" t="s">
        <v>22</v>
      </c>
      <c r="D68" t="s">
        <v>157</v>
      </c>
      <c r="E68">
        <v>37.96</v>
      </c>
      <c r="F68">
        <v>-121.29</v>
      </c>
      <c r="G68" t="s">
        <v>24</v>
      </c>
      <c r="H68" t="s">
        <v>20</v>
      </c>
      <c r="I68">
        <v>22</v>
      </c>
      <c r="J68">
        <v>3.4</v>
      </c>
      <c r="K68">
        <v>3.4</v>
      </c>
      <c r="L68">
        <v>3.1</v>
      </c>
      <c r="M68">
        <v>5</v>
      </c>
      <c r="N68">
        <v>3</v>
      </c>
      <c r="O68">
        <v>5</v>
      </c>
      <c r="P68">
        <v>5</v>
      </c>
    </row>
    <row r="69" spans="1:16" x14ac:dyDescent="0.3">
      <c r="A69">
        <v>67</v>
      </c>
      <c r="B69" t="s">
        <v>158</v>
      </c>
      <c r="C69" t="s">
        <v>22</v>
      </c>
      <c r="D69" t="s">
        <v>65</v>
      </c>
      <c r="E69">
        <v>34.049999999999997</v>
      </c>
      <c r="F69">
        <v>-118.24</v>
      </c>
      <c r="G69" t="s">
        <v>19</v>
      </c>
      <c r="H69" t="s">
        <v>20</v>
      </c>
      <c r="I69">
        <v>23</v>
      </c>
      <c r="J69">
        <v>2.7</v>
      </c>
      <c r="K69">
        <v>3.7</v>
      </c>
      <c r="L69">
        <v>1.8</v>
      </c>
      <c r="M69">
        <v>5</v>
      </c>
      <c r="N69">
        <v>4</v>
      </c>
      <c r="O69">
        <v>5</v>
      </c>
      <c r="P69">
        <v>4</v>
      </c>
    </row>
    <row r="70" spans="1:16" x14ac:dyDescent="0.3">
      <c r="A70">
        <v>68</v>
      </c>
      <c r="B70" t="s">
        <v>159</v>
      </c>
      <c r="C70" t="s">
        <v>160</v>
      </c>
      <c r="D70" t="s">
        <v>161</v>
      </c>
      <c r="E70">
        <v>37.6</v>
      </c>
      <c r="F70">
        <v>126.98</v>
      </c>
      <c r="G70" t="s">
        <v>19</v>
      </c>
      <c r="H70" t="s">
        <v>20</v>
      </c>
      <c r="I70">
        <v>23</v>
      </c>
      <c r="J70">
        <v>4</v>
      </c>
      <c r="K70">
        <v>3</v>
      </c>
      <c r="L70">
        <v>2.8</v>
      </c>
      <c r="M70">
        <v>3</v>
      </c>
      <c r="N70">
        <v>2</v>
      </c>
      <c r="O70">
        <v>2</v>
      </c>
      <c r="P70">
        <v>4</v>
      </c>
    </row>
    <row r="71" spans="1:16" x14ac:dyDescent="0.3">
      <c r="A71">
        <v>69</v>
      </c>
      <c r="B71" t="s">
        <v>162</v>
      </c>
      <c r="C71" t="s">
        <v>22</v>
      </c>
      <c r="D71" t="s">
        <v>163</v>
      </c>
      <c r="E71">
        <v>45.52</v>
      </c>
      <c r="F71">
        <v>-122.67</v>
      </c>
      <c r="G71" t="s">
        <v>19</v>
      </c>
      <c r="H71" t="s">
        <v>20</v>
      </c>
      <c r="I71">
        <v>24</v>
      </c>
      <c r="J71">
        <v>2.8</v>
      </c>
      <c r="K71">
        <v>3.6</v>
      </c>
      <c r="L71">
        <v>4</v>
      </c>
      <c r="M71">
        <v>5</v>
      </c>
      <c r="N71">
        <v>4</v>
      </c>
      <c r="O71">
        <v>3</v>
      </c>
      <c r="P71">
        <v>1</v>
      </c>
    </row>
    <row r="72" spans="1:16" x14ac:dyDescent="0.3">
      <c r="A72">
        <v>70</v>
      </c>
      <c r="B72" t="s">
        <v>164</v>
      </c>
      <c r="C72" t="s">
        <v>165</v>
      </c>
      <c r="D72" t="s">
        <v>166</v>
      </c>
      <c r="E72">
        <v>20.34</v>
      </c>
      <c r="F72">
        <v>-77.12</v>
      </c>
      <c r="G72" t="s">
        <v>19</v>
      </c>
      <c r="H72" t="s">
        <v>20</v>
      </c>
      <c r="I72">
        <v>21</v>
      </c>
      <c r="J72">
        <v>3.9</v>
      </c>
      <c r="K72">
        <v>2.8</v>
      </c>
      <c r="L72">
        <v>3.2</v>
      </c>
      <c r="M72">
        <v>3</v>
      </c>
      <c r="N72">
        <v>4</v>
      </c>
      <c r="O72">
        <v>4</v>
      </c>
      <c r="P72">
        <v>5</v>
      </c>
    </row>
    <row r="73" spans="1:16" x14ac:dyDescent="0.3">
      <c r="A73">
        <v>71</v>
      </c>
      <c r="B73" t="s">
        <v>167</v>
      </c>
      <c r="C73" t="s">
        <v>22</v>
      </c>
      <c r="D73" t="s">
        <v>94</v>
      </c>
      <c r="E73">
        <v>38.58</v>
      </c>
      <c r="F73">
        <v>-121.49</v>
      </c>
      <c r="G73" t="s">
        <v>24</v>
      </c>
      <c r="H73" t="s">
        <v>20</v>
      </c>
      <c r="I73">
        <v>21</v>
      </c>
      <c r="J73">
        <v>3.7</v>
      </c>
      <c r="K73">
        <v>3.7</v>
      </c>
      <c r="L73">
        <v>2.8</v>
      </c>
      <c r="M73">
        <v>5</v>
      </c>
      <c r="N73">
        <v>5</v>
      </c>
      <c r="O73">
        <v>4</v>
      </c>
      <c r="P73">
        <v>4</v>
      </c>
    </row>
    <row r="74" spans="1:16" x14ac:dyDescent="0.3">
      <c r="A74">
        <v>72</v>
      </c>
      <c r="B74" t="s">
        <v>168</v>
      </c>
      <c r="C74" t="s">
        <v>102</v>
      </c>
      <c r="D74" t="s">
        <v>169</v>
      </c>
      <c r="E74">
        <v>18.98</v>
      </c>
      <c r="F74">
        <v>72.83</v>
      </c>
      <c r="G74" t="s">
        <v>19</v>
      </c>
      <c r="H74" t="s">
        <v>20</v>
      </c>
      <c r="I74">
        <v>21</v>
      </c>
      <c r="J74">
        <v>3.1</v>
      </c>
      <c r="K74">
        <v>2.4</v>
      </c>
      <c r="L74">
        <v>3.3</v>
      </c>
      <c r="M74">
        <v>3</v>
      </c>
      <c r="N74">
        <v>1</v>
      </c>
      <c r="O74">
        <v>5</v>
      </c>
      <c r="P74">
        <v>4</v>
      </c>
    </row>
    <row r="75" spans="1:16" x14ac:dyDescent="0.3">
      <c r="A75">
        <v>73</v>
      </c>
      <c r="B75" t="s">
        <v>170</v>
      </c>
      <c r="C75" t="s">
        <v>22</v>
      </c>
      <c r="D75" t="s">
        <v>171</v>
      </c>
      <c r="E75">
        <v>38.75</v>
      </c>
      <c r="F75">
        <v>-121.29</v>
      </c>
      <c r="G75" t="s">
        <v>19</v>
      </c>
      <c r="H75" t="s">
        <v>20</v>
      </c>
      <c r="I75">
        <v>22</v>
      </c>
      <c r="J75">
        <v>3.8</v>
      </c>
      <c r="K75">
        <v>2.2000000000000002</v>
      </c>
      <c r="L75">
        <v>3.7</v>
      </c>
      <c r="M75">
        <v>5</v>
      </c>
      <c r="N75">
        <v>4</v>
      </c>
      <c r="O75">
        <v>5</v>
      </c>
      <c r="P75">
        <v>5</v>
      </c>
    </row>
    <row r="76" spans="1:16" x14ac:dyDescent="0.3">
      <c r="A76">
        <v>74</v>
      </c>
      <c r="B76" t="s">
        <v>172</v>
      </c>
      <c r="C76" t="s">
        <v>22</v>
      </c>
      <c r="D76" t="s">
        <v>142</v>
      </c>
      <c r="E76">
        <v>32.72</v>
      </c>
      <c r="F76">
        <v>-117.16</v>
      </c>
      <c r="G76" t="s">
        <v>19</v>
      </c>
      <c r="H76" t="s">
        <v>20</v>
      </c>
      <c r="I76">
        <v>21</v>
      </c>
      <c r="J76">
        <v>2.2999999999999998</v>
      </c>
      <c r="K76">
        <v>3.7</v>
      </c>
      <c r="L76">
        <v>3.6</v>
      </c>
      <c r="M76">
        <v>5</v>
      </c>
      <c r="N76">
        <v>5</v>
      </c>
      <c r="O76">
        <v>4</v>
      </c>
      <c r="P76">
        <v>5</v>
      </c>
    </row>
    <row r="77" spans="1:16" x14ac:dyDescent="0.3">
      <c r="A77">
        <v>75</v>
      </c>
      <c r="B77" t="s">
        <v>173</v>
      </c>
      <c r="C77" t="s">
        <v>22</v>
      </c>
      <c r="D77" t="s">
        <v>65</v>
      </c>
      <c r="E77">
        <v>34.049999999999997</v>
      </c>
      <c r="F77">
        <v>-118.24</v>
      </c>
      <c r="G77" t="s">
        <v>24</v>
      </c>
      <c r="H77" t="s">
        <v>20</v>
      </c>
      <c r="I77">
        <v>21</v>
      </c>
      <c r="J77">
        <v>3.2</v>
      </c>
      <c r="K77">
        <v>2.6</v>
      </c>
      <c r="L77">
        <v>3</v>
      </c>
      <c r="M77">
        <v>5</v>
      </c>
      <c r="N77">
        <v>5</v>
      </c>
      <c r="O77">
        <v>4</v>
      </c>
      <c r="P77">
        <v>5</v>
      </c>
    </row>
    <row r="78" spans="1:16" x14ac:dyDescent="0.3">
      <c r="A78">
        <v>76</v>
      </c>
      <c r="B78" t="s">
        <v>174</v>
      </c>
      <c r="C78" t="s">
        <v>17</v>
      </c>
      <c r="D78" t="s">
        <v>175</v>
      </c>
      <c r="E78">
        <v>30.58</v>
      </c>
      <c r="F78">
        <v>114.27</v>
      </c>
      <c r="G78" t="s">
        <v>24</v>
      </c>
      <c r="H78" t="s">
        <v>20</v>
      </c>
      <c r="I78">
        <v>21</v>
      </c>
      <c r="J78">
        <v>3.5</v>
      </c>
      <c r="K78">
        <v>3.9</v>
      </c>
      <c r="L78">
        <v>3.4</v>
      </c>
      <c r="M78">
        <v>4</v>
      </c>
      <c r="N78">
        <v>4</v>
      </c>
      <c r="O78">
        <v>4</v>
      </c>
      <c r="P78">
        <v>5</v>
      </c>
    </row>
    <row r="79" spans="1:16" x14ac:dyDescent="0.3">
      <c r="A79">
        <v>77</v>
      </c>
      <c r="B79" t="s">
        <v>176</v>
      </c>
      <c r="C79" t="s">
        <v>177</v>
      </c>
      <c r="D79" t="s">
        <v>178</v>
      </c>
      <c r="E79">
        <v>36.78</v>
      </c>
      <c r="F79">
        <v>10.99</v>
      </c>
      <c r="G79" t="s">
        <v>24</v>
      </c>
      <c r="H79" t="s">
        <v>20</v>
      </c>
      <c r="I79">
        <v>23</v>
      </c>
      <c r="J79">
        <v>3.5</v>
      </c>
      <c r="K79">
        <v>3.1</v>
      </c>
      <c r="L79">
        <v>4</v>
      </c>
      <c r="M79">
        <v>4</v>
      </c>
      <c r="N79">
        <v>5</v>
      </c>
      <c r="O79">
        <v>3</v>
      </c>
      <c r="P79">
        <v>3</v>
      </c>
    </row>
    <row r="80" spans="1:16" x14ac:dyDescent="0.3">
      <c r="A80">
        <v>78</v>
      </c>
      <c r="B80" t="s">
        <v>179</v>
      </c>
      <c r="C80" t="s">
        <v>22</v>
      </c>
      <c r="D80" t="s">
        <v>65</v>
      </c>
      <c r="E80">
        <v>34.049999999999997</v>
      </c>
      <c r="F80">
        <v>-118.24</v>
      </c>
      <c r="G80" t="s">
        <v>19</v>
      </c>
      <c r="H80" t="s">
        <v>20</v>
      </c>
      <c r="I80">
        <v>23</v>
      </c>
      <c r="J80">
        <v>3.1</v>
      </c>
      <c r="K80">
        <v>2.5</v>
      </c>
      <c r="L80">
        <v>3.7</v>
      </c>
      <c r="M80">
        <v>5</v>
      </c>
      <c r="N80">
        <v>4</v>
      </c>
      <c r="O80">
        <v>3</v>
      </c>
      <c r="P80">
        <v>5</v>
      </c>
    </row>
    <row r="81" spans="1:16" x14ac:dyDescent="0.3">
      <c r="A81">
        <v>79</v>
      </c>
      <c r="B81" t="s">
        <v>180</v>
      </c>
      <c r="C81" t="s">
        <v>62</v>
      </c>
      <c r="D81" t="s">
        <v>63</v>
      </c>
      <c r="E81">
        <v>35.69</v>
      </c>
      <c r="F81">
        <v>139.75</v>
      </c>
      <c r="G81" t="s">
        <v>19</v>
      </c>
      <c r="H81" t="s">
        <v>20</v>
      </c>
      <c r="I81">
        <v>23</v>
      </c>
      <c r="J81">
        <v>3.1</v>
      </c>
      <c r="K81">
        <v>3.8</v>
      </c>
      <c r="L81">
        <v>3.8</v>
      </c>
      <c r="M81">
        <v>4</v>
      </c>
      <c r="N81">
        <v>2</v>
      </c>
      <c r="O81">
        <v>4</v>
      </c>
      <c r="P81">
        <v>3</v>
      </c>
    </row>
    <row r="82" spans="1:16" x14ac:dyDescent="0.3">
      <c r="A82">
        <v>80</v>
      </c>
      <c r="B82" t="s">
        <v>181</v>
      </c>
      <c r="C82" t="s">
        <v>22</v>
      </c>
      <c r="D82" t="s">
        <v>182</v>
      </c>
      <c r="E82">
        <v>39.69</v>
      </c>
      <c r="F82">
        <v>-84.17</v>
      </c>
      <c r="G82" t="s">
        <v>24</v>
      </c>
      <c r="H82" t="s">
        <v>20</v>
      </c>
      <c r="I82">
        <v>25</v>
      </c>
      <c r="J82">
        <v>3.7</v>
      </c>
      <c r="K82">
        <v>3.8</v>
      </c>
      <c r="L82">
        <v>3.8</v>
      </c>
      <c r="M82">
        <v>5</v>
      </c>
      <c r="N82">
        <v>3</v>
      </c>
      <c r="O82">
        <v>4</v>
      </c>
      <c r="P82">
        <v>5</v>
      </c>
    </row>
    <row r="83" spans="1:16" x14ac:dyDescent="0.3">
      <c r="A83">
        <v>81</v>
      </c>
      <c r="B83" t="s">
        <v>183</v>
      </c>
      <c r="C83" t="s">
        <v>22</v>
      </c>
      <c r="D83" t="s">
        <v>65</v>
      </c>
      <c r="E83">
        <v>34.049999999999997</v>
      </c>
      <c r="F83">
        <v>-118.24</v>
      </c>
      <c r="G83" t="s">
        <v>24</v>
      </c>
      <c r="H83" t="s">
        <v>20</v>
      </c>
      <c r="I83">
        <v>22</v>
      </c>
      <c r="J83">
        <v>2.7</v>
      </c>
      <c r="K83">
        <v>2.6</v>
      </c>
      <c r="L83">
        <v>3.3</v>
      </c>
      <c r="M83">
        <v>5</v>
      </c>
      <c r="N83">
        <v>5</v>
      </c>
      <c r="O83">
        <v>5</v>
      </c>
      <c r="P83">
        <v>4</v>
      </c>
    </row>
    <row r="84" spans="1:16" x14ac:dyDescent="0.3">
      <c r="A84">
        <v>82</v>
      </c>
      <c r="B84" t="s">
        <v>184</v>
      </c>
      <c r="C84" t="s">
        <v>57</v>
      </c>
      <c r="D84" t="s">
        <v>57</v>
      </c>
      <c r="E84">
        <v>19.43</v>
      </c>
      <c r="F84">
        <v>-99.14</v>
      </c>
      <c r="G84" t="s">
        <v>19</v>
      </c>
      <c r="H84" t="s">
        <v>20</v>
      </c>
      <c r="I84">
        <v>23</v>
      </c>
      <c r="J84">
        <v>3.4</v>
      </c>
      <c r="K84">
        <v>2.6</v>
      </c>
      <c r="L84">
        <v>3.9</v>
      </c>
      <c r="M84">
        <v>2</v>
      </c>
      <c r="N84">
        <v>5</v>
      </c>
      <c r="O84">
        <v>3</v>
      </c>
      <c r="P84">
        <v>5</v>
      </c>
    </row>
    <row r="85" spans="1:16" x14ac:dyDescent="0.3">
      <c r="A85">
        <v>83</v>
      </c>
      <c r="B85" t="s">
        <v>185</v>
      </c>
      <c r="C85" t="s">
        <v>22</v>
      </c>
      <c r="D85" t="s">
        <v>65</v>
      </c>
      <c r="E85">
        <v>34.049999999999997</v>
      </c>
      <c r="F85">
        <v>-118.24</v>
      </c>
      <c r="G85" t="s">
        <v>24</v>
      </c>
      <c r="H85" t="s">
        <v>20</v>
      </c>
      <c r="I85">
        <v>26</v>
      </c>
      <c r="J85">
        <v>3.8</v>
      </c>
      <c r="K85">
        <v>3.4</v>
      </c>
      <c r="L85">
        <v>3.7</v>
      </c>
      <c r="M85">
        <v>5</v>
      </c>
      <c r="N85">
        <v>4</v>
      </c>
      <c r="O85">
        <v>5</v>
      </c>
      <c r="P85">
        <v>3</v>
      </c>
    </row>
    <row r="86" spans="1:16" x14ac:dyDescent="0.3">
      <c r="A86">
        <v>84</v>
      </c>
      <c r="B86" t="s">
        <v>186</v>
      </c>
      <c r="C86" t="s">
        <v>22</v>
      </c>
      <c r="D86" t="s">
        <v>142</v>
      </c>
      <c r="E86">
        <v>32.72</v>
      </c>
      <c r="F86">
        <v>-117.16</v>
      </c>
      <c r="G86" t="s">
        <v>19</v>
      </c>
      <c r="H86" t="s">
        <v>20</v>
      </c>
      <c r="I86">
        <v>23</v>
      </c>
      <c r="J86">
        <v>3.9</v>
      </c>
      <c r="K86">
        <v>2.4</v>
      </c>
      <c r="L86">
        <v>3.9</v>
      </c>
      <c r="M86">
        <v>5</v>
      </c>
      <c r="N86">
        <v>5</v>
      </c>
      <c r="O86">
        <v>4</v>
      </c>
      <c r="P86">
        <v>2</v>
      </c>
    </row>
    <row r="87" spans="1:16" x14ac:dyDescent="0.3">
      <c r="A87">
        <v>85</v>
      </c>
      <c r="B87" t="s">
        <v>187</v>
      </c>
      <c r="C87" t="s">
        <v>188</v>
      </c>
      <c r="D87" t="s">
        <v>189</v>
      </c>
      <c r="E87">
        <v>16.78</v>
      </c>
      <c r="F87">
        <v>96.17</v>
      </c>
      <c r="G87" t="s">
        <v>19</v>
      </c>
      <c r="H87" t="s">
        <v>20</v>
      </c>
      <c r="I87">
        <v>22</v>
      </c>
      <c r="J87">
        <v>3.1</v>
      </c>
      <c r="K87">
        <v>3.4</v>
      </c>
      <c r="L87">
        <v>3.7</v>
      </c>
      <c r="M87">
        <v>3</v>
      </c>
      <c r="N87">
        <v>4</v>
      </c>
      <c r="O87">
        <v>3</v>
      </c>
      <c r="P87">
        <v>5</v>
      </c>
    </row>
    <row r="88" spans="1:16" x14ac:dyDescent="0.3">
      <c r="A88">
        <v>86</v>
      </c>
      <c r="B88" t="s">
        <v>190</v>
      </c>
      <c r="C88" t="s">
        <v>22</v>
      </c>
      <c r="D88" t="s">
        <v>191</v>
      </c>
      <c r="E88">
        <v>42.36</v>
      </c>
      <c r="F88">
        <v>-87.84</v>
      </c>
      <c r="G88" t="s">
        <v>24</v>
      </c>
      <c r="H88" t="s">
        <v>20</v>
      </c>
      <c r="I88">
        <v>21</v>
      </c>
      <c r="J88">
        <v>3.4</v>
      </c>
      <c r="K88">
        <v>3.8</v>
      </c>
      <c r="L88">
        <v>3.9</v>
      </c>
      <c r="M88">
        <v>5</v>
      </c>
      <c r="N88">
        <v>3</v>
      </c>
      <c r="O88">
        <v>4</v>
      </c>
      <c r="P88">
        <v>4</v>
      </c>
    </row>
    <row r="89" spans="1:16" x14ac:dyDescent="0.3">
      <c r="A89">
        <v>87</v>
      </c>
      <c r="B89" t="s">
        <v>192</v>
      </c>
      <c r="C89" t="s">
        <v>57</v>
      </c>
      <c r="D89" t="s">
        <v>57</v>
      </c>
      <c r="E89">
        <v>19.43</v>
      </c>
      <c r="F89">
        <v>-99.14</v>
      </c>
      <c r="G89" t="s">
        <v>24</v>
      </c>
      <c r="H89" t="s">
        <v>20</v>
      </c>
      <c r="I89">
        <v>21</v>
      </c>
      <c r="J89">
        <v>2.8</v>
      </c>
      <c r="K89">
        <v>3.7</v>
      </c>
      <c r="L89">
        <v>3.5</v>
      </c>
      <c r="M89">
        <v>2</v>
      </c>
      <c r="N89">
        <v>4</v>
      </c>
      <c r="O89">
        <v>4</v>
      </c>
      <c r="P89">
        <v>5</v>
      </c>
    </row>
    <row r="90" spans="1:16" x14ac:dyDescent="0.3">
      <c r="A90">
        <v>88</v>
      </c>
      <c r="B90" t="s">
        <v>193</v>
      </c>
      <c r="C90" t="s">
        <v>22</v>
      </c>
      <c r="D90" t="s">
        <v>109</v>
      </c>
      <c r="E90">
        <v>40.71</v>
      </c>
      <c r="F90">
        <v>-74.010000000000005</v>
      </c>
      <c r="G90" t="s">
        <v>19</v>
      </c>
      <c r="H90" t="s">
        <v>20</v>
      </c>
      <c r="I90">
        <v>20</v>
      </c>
      <c r="J90">
        <v>3.3</v>
      </c>
      <c r="K90">
        <v>2.2999999999999998</v>
      </c>
      <c r="L90">
        <v>3.9</v>
      </c>
      <c r="M90">
        <v>5</v>
      </c>
      <c r="N90">
        <v>3</v>
      </c>
      <c r="O90">
        <v>5</v>
      </c>
      <c r="P90">
        <v>5</v>
      </c>
    </row>
    <row r="91" spans="1:16" x14ac:dyDescent="0.3">
      <c r="A91">
        <v>89</v>
      </c>
      <c r="B91" t="s">
        <v>194</v>
      </c>
      <c r="C91" t="s">
        <v>22</v>
      </c>
      <c r="D91" t="s">
        <v>195</v>
      </c>
      <c r="E91">
        <v>36.33</v>
      </c>
      <c r="F91">
        <v>-119.29</v>
      </c>
      <c r="G91" t="s">
        <v>19</v>
      </c>
      <c r="H91" t="s">
        <v>20</v>
      </c>
      <c r="I91">
        <v>20</v>
      </c>
      <c r="J91">
        <v>2.8</v>
      </c>
      <c r="K91">
        <v>3.5</v>
      </c>
      <c r="L91">
        <v>2.6</v>
      </c>
      <c r="M91">
        <v>5</v>
      </c>
      <c r="N91">
        <v>3</v>
      </c>
      <c r="O91">
        <v>4</v>
      </c>
      <c r="P91">
        <v>4</v>
      </c>
    </row>
    <row r="92" spans="1:16" x14ac:dyDescent="0.3">
      <c r="A92">
        <v>90</v>
      </c>
      <c r="B92" t="s">
        <v>196</v>
      </c>
      <c r="C92" t="s">
        <v>22</v>
      </c>
      <c r="D92" t="s">
        <v>109</v>
      </c>
      <c r="E92">
        <v>40.71</v>
      </c>
      <c r="F92">
        <v>-74.010000000000005</v>
      </c>
      <c r="G92" t="s">
        <v>24</v>
      </c>
      <c r="H92" t="s">
        <v>20</v>
      </c>
      <c r="I92">
        <v>22</v>
      </c>
      <c r="J92">
        <v>3</v>
      </c>
      <c r="K92">
        <v>3.9</v>
      </c>
      <c r="L92">
        <v>3.1</v>
      </c>
      <c r="M92">
        <v>5</v>
      </c>
      <c r="N92">
        <v>5</v>
      </c>
      <c r="O92">
        <v>2</v>
      </c>
      <c r="P92">
        <v>4</v>
      </c>
    </row>
    <row r="93" spans="1:16" x14ac:dyDescent="0.3">
      <c r="A93">
        <v>91</v>
      </c>
      <c r="B93" t="s">
        <v>197</v>
      </c>
      <c r="C93" t="s">
        <v>22</v>
      </c>
      <c r="D93" t="s">
        <v>198</v>
      </c>
      <c r="E93">
        <v>40.020000000000003</v>
      </c>
      <c r="F93">
        <v>-105.27</v>
      </c>
      <c r="G93" t="s">
        <v>19</v>
      </c>
      <c r="H93" t="s">
        <v>20</v>
      </c>
      <c r="I93">
        <v>22</v>
      </c>
      <c r="J93">
        <v>3.7</v>
      </c>
      <c r="K93">
        <v>3.9</v>
      </c>
      <c r="L93">
        <v>4</v>
      </c>
      <c r="M93">
        <v>5</v>
      </c>
      <c r="N93">
        <v>5</v>
      </c>
      <c r="O93">
        <v>4</v>
      </c>
      <c r="P93">
        <v>4</v>
      </c>
    </row>
    <row r="94" spans="1:16" x14ac:dyDescent="0.3">
      <c r="A94">
        <v>92</v>
      </c>
      <c r="B94" t="s">
        <v>199</v>
      </c>
      <c r="C94" t="s">
        <v>22</v>
      </c>
      <c r="D94" t="s">
        <v>49</v>
      </c>
      <c r="E94">
        <v>32.78</v>
      </c>
      <c r="F94">
        <v>-96.8</v>
      </c>
      <c r="G94" t="s">
        <v>19</v>
      </c>
      <c r="H94" t="s">
        <v>20</v>
      </c>
      <c r="I94">
        <v>22</v>
      </c>
      <c r="J94">
        <v>2.7</v>
      </c>
      <c r="K94">
        <v>3.3</v>
      </c>
      <c r="L94">
        <v>3.4</v>
      </c>
      <c r="M94">
        <v>5</v>
      </c>
      <c r="N94">
        <v>4</v>
      </c>
      <c r="O94">
        <v>5</v>
      </c>
      <c r="P94">
        <v>4</v>
      </c>
    </row>
    <row r="95" spans="1:16" x14ac:dyDescent="0.3">
      <c r="A95">
        <v>93</v>
      </c>
      <c r="B95" t="s">
        <v>200</v>
      </c>
      <c r="C95" t="s">
        <v>115</v>
      </c>
      <c r="D95" t="s">
        <v>201</v>
      </c>
      <c r="E95">
        <v>56.33</v>
      </c>
      <c r="F95">
        <v>44.01</v>
      </c>
      <c r="G95" t="s">
        <v>19</v>
      </c>
      <c r="H95" t="s">
        <v>20</v>
      </c>
      <c r="I95">
        <v>22</v>
      </c>
      <c r="J95">
        <v>3.7</v>
      </c>
      <c r="K95">
        <v>2.5</v>
      </c>
      <c r="L95">
        <v>3.2</v>
      </c>
      <c r="M95">
        <v>2</v>
      </c>
      <c r="N95">
        <v>3</v>
      </c>
      <c r="O95">
        <v>3</v>
      </c>
      <c r="P95">
        <v>5</v>
      </c>
    </row>
    <row r="96" spans="1:16" x14ac:dyDescent="0.3">
      <c r="A96">
        <v>94</v>
      </c>
      <c r="B96" t="s">
        <v>202</v>
      </c>
      <c r="C96" t="s">
        <v>203</v>
      </c>
      <c r="D96" t="s">
        <v>204</v>
      </c>
      <c r="E96">
        <v>4.8099999999999996</v>
      </c>
      <c r="F96">
        <v>-75.7</v>
      </c>
      <c r="G96" t="s">
        <v>24</v>
      </c>
      <c r="H96" t="s">
        <v>20</v>
      </c>
      <c r="I96">
        <v>20</v>
      </c>
      <c r="J96">
        <v>3.7</v>
      </c>
      <c r="K96">
        <v>3.7</v>
      </c>
      <c r="L96">
        <v>3.8</v>
      </c>
      <c r="M96">
        <v>1</v>
      </c>
      <c r="N96">
        <v>5</v>
      </c>
      <c r="O96">
        <v>5</v>
      </c>
      <c r="P96">
        <v>5</v>
      </c>
    </row>
    <row r="97" spans="1:16" x14ac:dyDescent="0.3">
      <c r="A97">
        <v>95</v>
      </c>
      <c r="B97" t="s">
        <v>205</v>
      </c>
      <c r="C97" t="s">
        <v>62</v>
      </c>
      <c r="D97" t="s">
        <v>63</v>
      </c>
      <c r="E97">
        <v>35.69</v>
      </c>
      <c r="F97">
        <v>139.75</v>
      </c>
      <c r="G97" t="s">
        <v>19</v>
      </c>
      <c r="H97" t="s">
        <v>20</v>
      </c>
      <c r="I97">
        <v>23</v>
      </c>
      <c r="J97">
        <v>3.3</v>
      </c>
      <c r="K97">
        <v>3.5</v>
      </c>
      <c r="L97">
        <v>3.6</v>
      </c>
      <c r="M97">
        <v>3</v>
      </c>
      <c r="N97">
        <v>5</v>
      </c>
      <c r="O97">
        <v>4</v>
      </c>
      <c r="P97">
        <v>4</v>
      </c>
    </row>
    <row r="98" spans="1:16" x14ac:dyDescent="0.3">
      <c r="A98">
        <v>96</v>
      </c>
      <c r="B98" t="s">
        <v>206</v>
      </c>
      <c r="C98" t="s">
        <v>32</v>
      </c>
      <c r="D98" t="s">
        <v>207</v>
      </c>
      <c r="E98">
        <v>-25.55</v>
      </c>
      <c r="F98">
        <v>-54.58</v>
      </c>
      <c r="G98" t="s">
        <v>24</v>
      </c>
      <c r="H98" t="s">
        <v>20</v>
      </c>
      <c r="I98">
        <v>23</v>
      </c>
      <c r="J98">
        <v>3</v>
      </c>
      <c r="K98">
        <v>3.4</v>
      </c>
      <c r="L98">
        <v>2.9</v>
      </c>
      <c r="M98">
        <v>4</v>
      </c>
      <c r="N98">
        <v>4</v>
      </c>
      <c r="O98">
        <v>4</v>
      </c>
      <c r="P98">
        <v>5</v>
      </c>
    </row>
    <row r="99" spans="1:16" x14ac:dyDescent="0.3">
      <c r="A99">
        <v>97</v>
      </c>
      <c r="B99" t="s">
        <v>208</v>
      </c>
      <c r="C99" t="s">
        <v>62</v>
      </c>
      <c r="D99" t="s">
        <v>209</v>
      </c>
      <c r="E99">
        <v>34.58</v>
      </c>
      <c r="F99">
        <v>135.62</v>
      </c>
      <c r="G99" t="s">
        <v>24</v>
      </c>
      <c r="H99" t="s">
        <v>20</v>
      </c>
      <c r="I99">
        <v>24</v>
      </c>
      <c r="J99">
        <v>2.9</v>
      </c>
      <c r="K99">
        <v>3.3</v>
      </c>
      <c r="L99">
        <v>3.1</v>
      </c>
      <c r="M99">
        <v>4</v>
      </c>
      <c r="N99">
        <v>2</v>
      </c>
      <c r="O99">
        <v>5</v>
      </c>
      <c r="P99">
        <v>4</v>
      </c>
    </row>
    <row r="100" spans="1:16" x14ac:dyDescent="0.3">
      <c r="A100">
        <v>98</v>
      </c>
      <c r="B100" t="s">
        <v>210</v>
      </c>
      <c r="C100" t="s">
        <v>22</v>
      </c>
      <c r="D100" t="s">
        <v>65</v>
      </c>
      <c r="E100">
        <v>34.049999999999997</v>
      </c>
      <c r="F100">
        <v>-118.24</v>
      </c>
      <c r="G100" t="s">
        <v>24</v>
      </c>
      <c r="H100" t="s">
        <v>20</v>
      </c>
      <c r="I100">
        <v>20</v>
      </c>
      <c r="J100">
        <v>3.9</v>
      </c>
      <c r="K100">
        <v>3.9</v>
      </c>
      <c r="L100">
        <v>4</v>
      </c>
      <c r="M100">
        <v>5</v>
      </c>
      <c r="N100">
        <v>3</v>
      </c>
      <c r="O100">
        <v>3.5</v>
      </c>
      <c r="P100">
        <v>3</v>
      </c>
    </row>
    <row r="101" spans="1:16" x14ac:dyDescent="0.3">
      <c r="A101">
        <v>99</v>
      </c>
      <c r="B101" t="s">
        <v>211</v>
      </c>
      <c r="C101" t="s">
        <v>62</v>
      </c>
      <c r="D101" t="s">
        <v>212</v>
      </c>
      <c r="E101">
        <v>35.520000000000003</v>
      </c>
      <c r="F101">
        <v>139.72</v>
      </c>
      <c r="G101" t="s">
        <v>24</v>
      </c>
      <c r="H101" t="s">
        <v>20</v>
      </c>
      <c r="I101">
        <v>22</v>
      </c>
      <c r="J101">
        <v>2.2000000000000002</v>
      </c>
      <c r="K101">
        <v>3.9</v>
      </c>
      <c r="L101">
        <v>3.9</v>
      </c>
      <c r="M101">
        <v>3</v>
      </c>
      <c r="N101">
        <v>5</v>
      </c>
      <c r="O101">
        <v>4</v>
      </c>
      <c r="P101">
        <v>5</v>
      </c>
    </row>
    <row r="102" spans="1:16" x14ac:dyDescent="0.3">
      <c r="A102">
        <v>100</v>
      </c>
      <c r="B102" t="s">
        <v>213</v>
      </c>
      <c r="C102" t="s">
        <v>22</v>
      </c>
      <c r="D102" t="s">
        <v>97</v>
      </c>
      <c r="E102">
        <v>33.450000000000003</v>
      </c>
      <c r="F102">
        <v>-112.07</v>
      </c>
      <c r="G102" t="s">
        <v>19</v>
      </c>
      <c r="H102" t="s">
        <v>20</v>
      </c>
      <c r="I102">
        <v>24</v>
      </c>
      <c r="J102">
        <v>3.9</v>
      </c>
      <c r="K102">
        <v>3.7</v>
      </c>
      <c r="L102">
        <v>3.8</v>
      </c>
      <c r="M102">
        <v>5</v>
      </c>
      <c r="N102">
        <v>4</v>
      </c>
      <c r="O102">
        <v>5</v>
      </c>
      <c r="P102">
        <v>3</v>
      </c>
    </row>
    <row r="103" spans="1:16" x14ac:dyDescent="0.3">
      <c r="A103">
        <v>101</v>
      </c>
      <c r="B103" t="s">
        <v>214</v>
      </c>
      <c r="C103" t="s">
        <v>78</v>
      </c>
      <c r="D103" t="s">
        <v>215</v>
      </c>
      <c r="E103">
        <v>24.91</v>
      </c>
      <c r="F103">
        <v>67.08</v>
      </c>
      <c r="G103" t="s">
        <v>24</v>
      </c>
      <c r="H103" t="s">
        <v>20</v>
      </c>
      <c r="I103">
        <v>22</v>
      </c>
      <c r="J103">
        <v>3.3</v>
      </c>
      <c r="K103">
        <v>2.8</v>
      </c>
      <c r="L103">
        <v>3.9</v>
      </c>
      <c r="M103">
        <v>4</v>
      </c>
      <c r="N103">
        <v>4</v>
      </c>
      <c r="O103">
        <v>4</v>
      </c>
      <c r="P103">
        <v>4</v>
      </c>
    </row>
    <row r="104" spans="1:16" x14ac:dyDescent="0.3">
      <c r="A104">
        <v>102</v>
      </c>
      <c r="B104" t="s">
        <v>216</v>
      </c>
      <c r="C104" t="s">
        <v>22</v>
      </c>
      <c r="D104" t="s">
        <v>217</v>
      </c>
      <c r="E104">
        <v>37.49</v>
      </c>
      <c r="F104">
        <v>-122.24</v>
      </c>
      <c r="G104" t="s">
        <v>19</v>
      </c>
      <c r="H104" t="s">
        <v>20</v>
      </c>
      <c r="I104">
        <v>24</v>
      </c>
      <c r="J104">
        <v>3.2</v>
      </c>
      <c r="K104">
        <v>3.9</v>
      </c>
      <c r="L104">
        <v>3.9</v>
      </c>
      <c r="M104">
        <v>5</v>
      </c>
      <c r="N104">
        <v>2</v>
      </c>
      <c r="O104">
        <v>4</v>
      </c>
      <c r="P104">
        <v>5</v>
      </c>
    </row>
    <row r="105" spans="1:16" x14ac:dyDescent="0.3">
      <c r="A105">
        <v>103</v>
      </c>
      <c r="B105" t="s">
        <v>218</v>
      </c>
      <c r="C105" t="s">
        <v>22</v>
      </c>
      <c r="D105" t="s">
        <v>219</v>
      </c>
      <c r="E105">
        <v>33.75</v>
      </c>
      <c r="F105">
        <v>-117.87</v>
      </c>
      <c r="G105" t="s">
        <v>24</v>
      </c>
      <c r="H105" t="s">
        <v>20</v>
      </c>
      <c r="I105">
        <v>23</v>
      </c>
      <c r="J105">
        <v>3.7</v>
      </c>
      <c r="K105">
        <v>3.8</v>
      </c>
      <c r="L105">
        <v>3.7</v>
      </c>
      <c r="M105">
        <v>5</v>
      </c>
      <c r="N105">
        <v>1</v>
      </c>
      <c r="O105">
        <v>5</v>
      </c>
      <c r="P105">
        <v>4</v>
      </c>
    </row>
    <row r="106" spans="1:16" x14ac:dyDescent="0.3">
      <c r="A106">
        <v>104</v>
      </c>
      <c r="B106" t="s">
        <v>220</v>
      </c>
      <c r="C106" t="s">
        <v>69</v>
      </c>
      <c r="D106" t="s">
        <v>70</v>
      </c>
      <c r="E106">
        <v>43.67</v>
      </c>
      <c r="F106">
        <v>-79.42</v>
      </c>
      <c r="G106" t="s">
        <v>67</v>
      </c>
      <c r="H106" t="s">
        <v>20</v>
      </c>
      <c r="I106">
        <v>22</v>
      </c>
      <c r="J106">
        <v>3.2</v>
      </c>
      <c r="K106">
        <v>3</v>
      </c>
      <c r="L106">
        <v>3.9</v>
      </c>
      <c r="M106">
        <v>5</v>
      </c>
      <c r="N106">
        <v>3</v>
      </c>
      <c r="O106">
        <v>3</v>
      </c>
      <c r="P106">
        <v>5</v>
      </c>
    </row>
    <row r="107" spans="1:16" x14ac:dyDescent="0.3">
      <c r="A107">
        <v>105</v>
      </c>
      <c r="B107" t="s">
        <v>221</v>
      </c>
      <c r="C107" t="s">
        <v>222</v>
      </c>
      <c r="D107" t="s">
        <v>223</v>
      </c>
      <c r="E107">
        <v>13.68</v>
      </c>
      <c r="F107">
        <v>-89.28</v>
      </c>
      <c r="G107" t="s">
        <v>19</v>
      </c>
      <c r="H107" t="s">
        <v>20</v>
      </c>
      <c r="I107">
        <v>23</v>
      </c>
      <c r="J107">
        <v>3.3</v>
      </c>
      <c r="K107">
        <v>2.9</v>
      </c>
      <c r="L107">
        <v>3.5</v>
      </c>
      <c r="M107">
        <v>3</v>
      </c>
      <c r="N107">
        <v>4</v>
      </c>
      <c r="O107">
        <v>4</v>
      </c>
      <c r="P107">
        <v>4</v>
      </c>
    </row>
    <row r="108" spans="1:16" x14ac:dyDescent="0.3">
      <c r="A108">
        <v>106</v>
      </c>
      <c r="B108" t="s">
        <v>224</v>
      </c>
      <c r="C108" t="s">
        <v>22</v>
      </c>
      <c r="D108" t="s">
        <v>52</v>
      </c>
      <c r="E108">
        <v>41.85</v>
      </c>
      <c r="F108">
        <v>-87.65</v>
      </c>
      <c r="G108" t="s">
        <v>24</v>
      </c>
      <c r="H108" t="s">
        <v>20</v>
      </c>
      <c r="I108">
        <v>20</v>
      </c>
      <c r="J108">
        <v>3.7</v>
      </c>
      <c r="K108">
        <v>3.2</v>
      </c>
      <c r="L108">
        <v>4</v>
      </c>
      <c r="M108">
        <v>5</v>
      </c>
      <c r="N108">
        <v>5</v>
      </c>
      <c r="O108">
        <v>4</v>
      </c>
      <c r="P108">
        <v>1</v>
      </c>
    </row>
    <row r="109" spans="1:16" x14ac:dyDescent="0.3">
      <c r="A109">
        <v>107</v>
      </c>
      <c r="B109" t="s">
        <v>225</v>
      </c>
      <c r="C109" t="s">
        <v>22</v>
      </c>
      <c r="D109" t="s">
        <v>109</v>
      </c>
      <c r="E109">
        <v>40.71</v>
      </c>
      <c r="F109">
        <v>-74.010000000000005</v>
      </c>
      <c r="G109" t="s">
        <v>24</v>
      </c>
      <c r="H109" t="s">
        <v>20</v>
      </c>
      <c r="I109">
        <v>22</v>
      </c>
      <c r="J109">
        <v>3.9</v>
      </c>
      <c r="K109">
        <v>3.3</v>
      </c>
      <c r="L109">
        <v>3.3</v>
      </c>
      <c r="M109">
        <v>5</v>
      </c>
      <c r="N109">
        <v>5</v>
      </c>
      <c r="O109">
        <v>4</v>
      </c>
      <c r="P109">
        <v>2</v>
      </c>
    </row>
    <row r="110" spans="1:16" x14ac:dyDescent="0.3">
      <c r="A110">
        <v>108</v>
      </c>
      <c r="B110" t="s">
        <v>226</v>
      </c>
      <c r="C110" t="s">
        <v>22</v>
      </c>
      <c r="D110" t="s">
        <v>65</v>
      </c>
      <c r="E110">
        <v>34.049999999999997</v>
      </c>
      <c r="F110">
        <v>-118.24</v>
      </c>
      <c r="G110" t="s">
        <v>24</v>
      </c>
      <c r="H110" t="s">
        <v>20</v>
      </c>
      <c r="I110">
        <v>23</v>
      </c>
      <c r="J110">
        <v>3.6</v>
      </c>
      <c r="K110">
        <v>3.6</v>
      </c>
      <c r="L110">
        <v>3.3</v>
      </c>
      <c r="M110">
        <v>5</v>
      </c>
      <c r="N110">
        <v>5</v>
      </c>
      <c r="O110">
        <v>4</v>
      </c>
      <c r="P110">
        <v>4</v>
      </c>
    </row>
    <row r="111" spans="1:16" x14ac:dyDescent="0.3">
      <c r="A111">
        <v>109</v>
      </c>
      <c r="B111" t="s">
        <v>227</v>
      </c>
      <c r="C111" t="s">
        <v>22</v>
      </c>
      <c r="D111" t="s">
        <v>228</v>
      </c>
      <c r="E111">
        <v>41.52</v>
      </c>
      <c r="F111">
        <v>-88.08</v>
      </c>
      <c r="G111" t="s">
        <v>19</v>
      </c>
      <c r="H111" t="s">
        <v>20</v>
      </c>
      <c r="I111">
        <v>24</v>
      </c>
      <c r="J111">
        <v>3.3</v>
      </c>
      <c r="K111">
        <v>3.8</v>
      </c>
      <c r="L111">
        <v>3.8</v>
      </c>
      <c r="M111">
        <v>5</v>
      </c>
      <c r="N111">
        <v>4</v>
      </c>
      <c r="O111">
        <v>4</v>
      </c>
      <c r="P111">
        <v>4</v>
      </c>
    </row>
    <row r="112" spans="1:16" x14ac:dyDescent="0.3">
      <c r="A112">
        <v>110</v>
      </c>
      <c r="B112" t="s">
        <v>229</v>
      </c>
      <c r="C112" t="s">
        <v>22</v>
      </c>
      <c r="D112" t="s">
        <v>97</v>
      </c>
      <c r="E112">
        <v>33.450000000000003</v>
      </c>
      <c r="F112">
        <v>-112.07</v>
      </c>
      <c r="G112" t="s">
        <v>19</v>
      </c>
      <c r="H112" t="s">
        <v>20</v>
      </c>
      <c r="I112">
        <v>23</v>
      </c>
      <c r="J112">
        <v>3.9</v>
      </c>
      <c r="K112">
        <v>3.7</v>
      </c>
      <c r="L112">
        <v>3.9</v>
      </c>
      <c r="M112">
        <v>5</v>
      </c>
      <c r="N112">
        <v>3</v>
      </c>
      <c r="O112">
        <v>4</v>
      </c>
      <c r="P112">
        <v>5</v>
      </c>
    </row>
    <row r="113" spans="1:16" x14ac:dyDescent="0.3">
      <c r="A113">
        <v>111</v>
      </c>
      <c r="B113" t="s">
        <v>230</v>
      </c>
      <c r="C113" t="s">
        <v>69</v>
      </c>
      <c r="D113" t="s">
        <v>231</v>
      </c>
      <c r="E113">
        <v>53.55</v>
      </c>
      <c r="F113">
        <v>-113.5</v>
      </c>
      <c r="G113" t="s">
        <v>19</v>
      </c>
      <c r="H113" t="s">
        <v>20</v>
      </c>
      <c r="I113">
        <v>22</v>
      </c>
      <c r="J113">
        <v>3.5</v>
      </c>
      <c r="K113">
        <v>3.6</v>
      </c>
      <c r="L113">
        <v>2.6</v>
      </c>
      <c r="M113">
        <v>5</v>
      </c>
      <c r="N113">
        <v>5</v>
      </c>
      <c r="O113">
        <v>4</v>
      </c>
      <c r="P113">
        <v>4</v>
      </c>
    </row>
    <row r="114" spans="1:16" x14ac:dyDescent="0.3">
      <c r="A114">
        <v>112</v>
      </c>
      <c r="B114" t="s">
        <v>232</v>
      </c>
      <c r="C114" t="s">
        <v>57</v>
      </c>
      <c r="D114" t="s">
        <v>127</v>
      </c>
      <c r="E114">
        <v>32.65</v>
      </c>
      <c r="F114">
        <v>-115.47</v>
      </c>
      <c r="G114" t="s">
        <v>24</v>
      </c>
      <c r="H114" t="s">
        <v>20</v>
      </c>
      <c r="I114">
        <v>23</v>
      </c>
      <c r="J114">
        <v>3.1</v>
      </c>
      <c r="K114">
        <v>3.9</v>
      </c>
      <c r="L114">
        <v>3.6</v>
      </c>
      <c r="M114">
        <v>4</v>
      </c>
      <c r="N114">
        <v>4</v>
      </c>
      <c r="O114">
        <v>3</v>
      </c>
      <c r="P114">
        <v>4</v>
      </c>
    </row>
    <row r="115" spans="1:16" x14ac:dyDescent="0.3">
      <c r="A115">
        <v>113</v>
      </c>
      <c r="B115" t="s">
        <v>233</v>
      </c>
      <c r="C115" t="s">
        <v>22</v>
      </c>
      <c r="D115" t="s">
        <v>234</v>
      </c>
      <c r="E115">
        <v>34.06</v>
      </c>
      <c r="F115">
        <v>-117.75</v>
      </c>
      <c r="G115" t="s">
        <v>24</v>
      </c>
      <c r="H115" t="s">
        <v>20</v>
      </c>
      <c r="I115">
        <v>22</v>
      </c>
      <c r="J115">
        <v>3.7</v>
      </c>
      <c r="K115">
        <v>3.8</v>
      </c>
      <c r="L115">
        <v>2.1</v>
      </c>
      <c r="M115">
        <v>5</v>
      </c>
      <c r="N115">
        <v>4</v>
      </c>
      <c r="O115">
        <v>5</v>
      </c>
      <c r="P115">
        <v>4</v>
      </c>
    </row>
    <row r="116" spans="1:16" x14ac:dyDescent="0.3">
      <c r="A116">
        <v>114</v>
      </c>
      <c r="B116" t="s">
        <v>235</v>
      </c>
      <c r="C116" t="s">
        <v>22</v>
      </c>
      <c r="D116" t="s">
        <v>65</v>
      </c>
      <c r="E116">
        <v>34.049999999999997</v>
      </c>
      <c r="F116">
        <v>-118.24</v>
      </c>
      <c r="G116" t="s">
        <v>19</v>
      </c>
      <c r="H116" t="s">
        <v>20</v>
      </c>
      <c r="I116">
        <v>21</v>
      </c>
      <c r="J116">
        <v>3.6</v>
      </c>
      <c r="K116">
        <v>3</v>
      </c>
      <c r="L116">
        <v>3.3</v>
      </c>
      <c r="M116">
        <v>5</v>
      </c>
      <c r="N116">
        <v>4</v>
      </c>
      <c r="O116">
        <v>4</v>
      </c>
      <c r="P116">
        <v>4</v>
      </c>
    </row>
    <row r="117" spans="1:16" x14ac:dyDescent="0.3">
      <c r="A117">
        <v>115</v>
      </c>
      <c r="B117" t="s">
        <v>236</v>
      </c>
      <c r="C117" t="s">
        <v>22</v>
      </c>
      <c r="D117" t="s">
        <v>109</v>
      </c>
      <c r="E117">
        <v>40.71</v>
      </c>
      <c r="F117">
        <v>-74.010000000000005</v>
      </c>
      <c r="G117" t="s">
        <v>24</v>
      </c>
      <c r="H117" t="s">
        <v>20</v>
      </c>
      <c r="I117">
        <v>22</v>
      </c>
      <c r="J117">
        <v>3.9</v>
      </c>
      <c r="K117">
        <v>3.7</v>
      </c>
      <c r="L117">
        <v>3.3</v>
      </c>
      <c r="M117">
        <v>5</v>
      </c>
      <c r="N117">
        <v>4</v>
      </c>
      <c r="O117">
        <v>3</v>
      </c>
      <c r="P117">
        <v>3</v>
      </c>
    </row>
    <row r="118" spans="1:16" x14ac:dyDescent="0.3">
      <c r="A118">
        <v>116</v>
      </c>
      <c r="B118" t="s">
        <v>237</v>
      </c>
      <c r="C118" t="s">
        <v>22</v>
      </c>
      <c r="D118" t="s">
        <v>238</v>
      </c>
      <c r="E118">
        <v>47.66</v>
      </c>
      <c r="F118">
        <v>-117.42</v>
      </c>
      <c r="G118" t="s">
        <v>24</v>
      </c>
      <c r="H118" t="s">
        <v>20</v>
      </c>
      <c r="I118">
        <v>22</v>
      </c>
      <c r="J118">
        <v>3.2</v>
      </c>
      <c r="K118">
        <v>3.2</v>
      </c>
      <c r="L118">
        <v>3.8</v>
      </c>
      <c r="M118">
        <v>5</v>
      </c>
      <c r="N118">
        <v>2</v>
      </c>
      <c r="O118">
        <v>4</v>
      </c>
      <c r="P118">
        <v>5</v>
      </c>
    </row>
    <row r="119" spans="1:16" x14ac:dyDescent="0.3">
      <c r="A119">
        <v>117</v>
      </c>
      <c r="B119" t="s">
        <v>239</v>
      </c>
      <c r="C119" t="s">
        <v>57</v>
      </c>
      <c r="D119" t="s">
        <v>57</v>
      </c>
      <c r="E119">
        <v>19.43</v>
      </c>
      <c r="F119">
        <v>-99.14</v>
      </c>
      <c r="G119" t="s">
        <v>19</v>
      </c>
      <c r="H119" t="s">
        <v>20</v>
      </c>
      <c r="I119">
        <v>22</v>
      </c>
      <c r="J119">
        <v>3.2</v>
      </c>
      <c r="K119">
        <v>4</v>
      </c>
      <c r="L119">
        <v>3.8</v>
      </c>
      <c r="M119">
        <v>4</v>
      </c>
      <c r="N119">
        <v>3</v>
      </c>
      <c r="O119">
        <v>3</v>
      </c>
      <c r="P119">
        <v>4</v>
      </c>
    </row>
    <row r="120" spans="1:16" x14ac:dyDescent="0.3">
      <c r="A120">
        <v>118</v>
      </c>
      <c r="B120" t="s">
        <v>240</v>
      </c>
      <c r="C120" t="s">
        <v>22</v>
      </c>
      <c r="D120" t="s">
        <v>109</v>
      </c>
      <c r="E120">
        <v>40.71</v>
      </c>
      <c r="F120">
        <v>-74.010000000000005</v>
      </c>
      <c r="G120" t="s">
        <v>19</v>
      </c>
      <c r="H120" t="s">
        <v>20</v>
      </c>
      <c r="I120">
        <v>22</v>
      </c>
      <c r="J120">
        <v>3.2</v>
      </c>
      <c r="K120">
        <v>3.8</v>
      </c>
      <c r="L120">
        <v>3.8</v>
      </c>
      <c r="M120">
        <v>5</v>
      </c>
      <c r="N120">
        <v>3</v>
      </c>
      <c r="O120">
        <v>4</v>
      </c>
      <c r="P120">
        <v>4</v>
      </c>
    </row>
    <row r="121" spans="1:16" x14ac:dyDescent="0.3">
      <c r="A121">
        <v>119</v>
      </c>
      <c r="B121" t="s">
        <v>241</v>
      </c>
      <c r="C121" t="s">
        <v>22</v>
      </c>
      <c r="D121" t="s">
        <v>65</v>
      </c>
      <c r="E121">
        <v>34.049999999999997</v>
      </c>
      <c r="F121">
        <v>-118.24</v>
      </c>
      <c r="G121" t="s">
        <v>19</v>
      </c>
      <c r="H121" t="s">
        <v>20</v>
      </c>
      <c r="I121">
        <v>23</v>
      </c>
      <c r="J121">
        <v>3.9</v>
      </c>
      <c r="K121">
        <v>3.9</v>
      </c>
      <c r="L121">
        <v>3.1</v>
      </c>
      <c r="M121">
        <v>5</v>
      </c>
      <c r="N121">
        <v>4</v>
      </c>
      <c r="O121">
        <v>4</v>
      </c>
      <c r="P121">
        <v>5</v>
      </c>
    </row>
    <row r="122" spans="1:16" x14ac:dyDescent="0.3">
      <c r="A122">
        <v>120</v>
      </c>
      <c r="B122" t="s">
        <v>242</v>
      </c>
      <c r="C122" t="s">
        <v>115</v>
      </c>
      <c r="D122" t="s">
        <v>243</v>
      </c>
      <c r="E122">
        <v>59.89</v>
      </c>
      <c r="F122">
        <v>30.26</v>
      </c>
      <c r="G122" t="s">
        <v>19</v>
      </c>
      <c r="H122" t="s">
        <v>20</v>
      </c>
      <c r="I122">
        <v>24</v>
      </c>
      <c r="J122">
        <v>4</v>
      </c>
      <c r="K122">
        <v>3.9</v>
      </c>
      <c r="L122">
        <v>3.3</v>
      </c>
      <c r="M122">
        <v>3</v>
      </c>
      <c r="N122">
        <v>5</v>
      </c>
      <c r="O122">
        <v>3</v>
      </c>
      <c r="P122">
        <v>3</v>
      </c>
    </row>
    <row r="123" spans="1:16" x14ac:dyDescent="0.3">
      <c r="A123">
        <v>121</v>
      </c>
      <c r="B123" t="s">
        <v>244</v>
      </c>
      <c r="C123" t="s">
        <v>69</v>
      </c>
      <c r="D123" t="s">
        <v>70</v>
      </c>
      <c r="E123">
        <v>43.67</v>
      </c>
      <c r="F123">
        <v>-79.42</v>
      </c>
      <c r="G123" t="s">
        <v>24</v>
      </c>
      <c r="H123" t="s">
        <v>20</v>
      </c>
      <c r="I123">
        <v>20</v>
      </c>
      <c r="J123">
        <v>3.9</v>
      </c>
      <c r="K123">
        <v>2.4</v>
      </c>
      <c r="L123">
        <v>3.6</v>
      </c>
      <c r="M123">
        <v>5</v>
      </c>
      <c r="N123">
        <v>4</v>
      </c>
      <c r="O123">
        <v>3</v>
      </c>
      <c r="P123">
        <v>4</v>
      </c>
    </row>
    <row r="124" spans="1:16" x14ac:dyDescent="0.3">
      <c r="A124">
        <v>122</v>
      </c>
      <c r="B124" t="s">
        <v>245</v>
      </c>
      <c r="C124" t="s">
        <v>22</v>
      </c>
      <c r="D124" t="s">
        <v>65</v>
      </c>
      <c r="E124">
        <v>34.049999999999997</v>
      </c>
      <c r="F124">
        <v>-118.24</v>
      </c>
      <c r="G124" t="s">
        <v>24</v>
      </c>
      <c r="H124" t="s">
        <v>20</v>
      </c>
      <c r="I124">
        <v>23</v>
      </c>
      <c r="J124">
        <v>3.9</v>
      </c>
      <c r="K124">
        <v>4</v>
      </c>
      <c r="L124">
        <v>2.1</v>
      </c>
      <c r="M124">
        <v>5</v>
      </c>
      <c r="N124">
        <v>5</v>
      </c>
      <c r="O124">
        <v>5</v>
      </c>
      <c r="P124">
        <v>3</v>
      </c>
    </row>
    <row r="125" spans="1:16" x14ac:dyDescent="0.3">
      <c r="A125">
        <v>123</v>
      </c>
      <c r="B125" t="s">
        <v>246</v>
      </c>
      <c r="C125" t="s">
        <v>22</v>
      </c>
      <c r="D125" t="s">
        <v>65</v>
      </c>
      <c r="E125">
        <v>34.049999999999997</v>
      </c>
      <c r="F125">
        <v>-118.24</v>
      </c>
      <c r="G125" t="s">
        <v>24</v>
      </c>
      <c r="H125" t="s">
        <v>20</v>
      </c>
      <c r="I125">
        <v>21</v>
      </c>
      <c r="J125">
        <v>4</v>
      </c>
      <c r="K125">
        <v>3.2</v>
      </c>
      <c r="L125">
        <v>3.9</v>
      </c>
      <c r="M125">
        <v>5</v>
      </c>
      <c r="N125">
        <v>4</v>
      </c>
      <c r="O125">
        <v>5</v>
      </c>
      <c r="P125">
        <v>4</v>
      </c>
    </row>
    <row r="126" spans="1:16" x14ac:dyDescent="0.3">
      <c r="A126">
        <v>124</v>
      </c>
      <c r="B126" t="s">
        <v>247</v>
      </c>
      <c r="C126" t="s">
        <v>22</v>
      </c>
      <c r="D126" t="s">
        <v>248</v>
      </c>
      <c r="E126">
        <v>36.17</v>
      </c>
      <c r="F126">
        <v>-115.14</v>
      </c>
      <c r="G126" t="s">
        <v>24</v>
      </c>
      <c r="H126" t="s">
        <v>20</v>
      </c>
      <c r="I126">
        <v>21</v>
      </c>
      <c r="J126">
        <v>2.8</v>
      </c>
      <c r="K126">
        <v>3.8</v>
      </c>
      <c r="L126">
        <v>3.8</v>
      </c>
      <c r="M126">
        <v>5</v>
      </c>
      <c r="N126">
        <v>5</v>
      </c>
      <c r="O126">
        <v>5</v>
      </c>
      <c r="P126">
        <v>4</v>
      </c>
    </row>
    <row r="127" spans="1:16" x14ac:dyDescent="0.3">
      <c r="A127">
        <v>125</v>
      </c>
      <c r="B127" t="s">
        <v>249</v>
      </c>
      <c r="C127" t="s">
        <v>57</v>
      </c>
      <c r="D127" t="s">
        <v>250</v>
      </c>
      <c r="E127">
        <v>21.88</v>
      </c>
      <c r="F127">
        <v>-102.3</v>
      </c>
      <c r="G127" t="s">
        <v>19</v>
      </c>
      <c r="H127" t="s">
        <v>20</v>
      </c>
      <c r="I127">
        <v>20</v>
      </c>
      <c r="J127">
        <v>3.7</v>
      </c>
      <c r="K127">
        <v>3.7</v>
      </c>
      <c r="L127">
        <v>3.7</v>
      </c>
      <c r="M127">
        <v>3</v>
      </c>
      <c r="N127">
        <v>4</v>
      </c>
      <c r="O127">
        <v>5</v>
      </c>
      <c r="P127">
        <v>5</v>
      </c>
    </row>
    <row r="128" spans="1:16" x14ac:dyDescent="0.3">
      <c r="A128">
        <v>126</v>
      </c>
      <c r="B128" t="s">
        <v>251</v>
      </c>
      <c r="C128" t="s">
        <v>22</v>
      </c>
      <c r="D128" t="s">
        <v>65</v>
      </c>
      <c r="E128">
        <v>34.049999999999997</v>
      </c>
      <c r="F128">
        <v>-118.24</v>
      </c>
      <c r="G128" t="s">
        <v>19</v>
      </c>
      <c r="H128" t="s">
        <v>20</v>
      </c>
      <c r="I128">
        <v>22</v>
      </c>
      <c r="J128">
        <v>3.4</v>
      </c>
      <c r="K128">
        <v>3.5</v>
      </c>
      <c r="L128">
        <v>2.8</v>
      </c>
      <c r="M128">
        <v>5</v>
      </c>
      <c r="N128">
        <v>4</v>
      </c>
      <c r="O128">
        <v>3</v>
      </c>
      <c r="P128">
        <v>5</v>
      </c>
    </row>
    <row r="129" spans="1:16" x14ac:dyDescent="0.3">
      <c r="A129">
        <v>127</v>
      </c>
      <c r="B129" t="s">
        <v>252</v>
      </c>
      <c r="C129" t="s">
        <v>22</v>
      </c>
      <c r="D129" t="s">
        <v>65</v>
      </c>
      <c r="E129">
        <v>34.049999999999997</v>
      </c>
      <c r="F129">
        <v>-118.24</v>
      </c>
      <c r="G129" t="s">
        <v>24</v>
      </c>
      <c r="H129" t="s">
        <v>20</v>
      </c>
      <c r="I129">
        <v>22</v>
      </c>
      <c r="J129">
        <v>3.9</v>
      </c>
      <c r="K129">
        <v>2.8</v>
      </c>
      <c r="L129">
        <v>4</v>
      </c>
      <c r="M129">
        <v>5</v>
      </c>
      <c r="N129">
        <v>3</v>
      </c>
      <c r="O129">
        <v>4</v>
      </c>
      <c r="P129">
        <v>4</v>
      </c>
    </row>
    <row r="130" spans="1:16" x14ac:dyDescent="0.3">
      <c r="A130">
        <v>128</v>
      </c>
      <c r="B130" t="s">
        <v>253</v>
      </c>
      <c r="C130" t="s">
        <v>254</v>
      </c>
      <c r="D130" t="s">
        <v>255</v>
      </c>
      <c r="E130">
        <v>50.7</v>
      </c>
      <c r="F130">
        <v>6.65</v>
      </c>
      <c r="G130" t="s">
        <v>19</v>
      </c>
      <c r="H130" t="s">
        <v>20</v>
      </c>
      <c r="I130">
        <v>20</v>
      </c>
      <c r="J130">
        <v>3.2</v>
      </c>
      <c r="K130">
        <v>3.5</v>
      </c>
      <c r="L130">
        <v>3.9</v>
      </c>
      <c r="M130">
        <v>3</v>
      </c>
      <c r="N130">
        <v>5</v>
      </c>
      <c r="O130">
        <v>5</v>
      </c>
      <c r="P130">
        <v>5</v>
      </c>
    </row>
    <row r="131" spans="1:16" x14ac:dyDescent="0.3">
      <c r="A131">
        <v>129</v>
      </c>
      <c r="B131" t="s">
        <v>256</v>
      </c>
      <c r="C131" t="s">
        <v>132</v>
      </c>
      <c r="D131" t="s">
        <v>257</v>
      </c>
      <c r="E131">
        <v>38.119999999999997</v>
      </c>
      <c r="F131">
        <v>-0.88</v>
      </c>
      <c r="G131" t="s">
        <v>24</v>
      </c>
      <c r="H131" t="s">
        <v>20</v>
      </c>
      <c r="I131">
        <v>24</v>
      </c>
      <c r="J131">
        <v>3.4</v>
      </c>
      <c r="K131">
        <v>4</v>
      </c>
      <c r="L131">
        <v>3.4</v>
      </c>
      <c r="M131">
        <v>4</v>
      </c>
      <c r="N131">
        <v>4</v>
      </c>
      <c r="O131">
        <v>4</v>
      </c>
      <c r="P131">
        <v>4</v>
      </c>
    </row>
    <row r="132" spans="1:16" x14ac:dyDescent="0.3">
      <c r="A132">
        <v>130</v>
      </c>
      <c r="B132" t="s">
        <v>258</v>
      </c>
      <c r="C132" t="s">
        <v>22</v>
      </c>
      <c r="D132" t="s">
        <v>97</v>
      </c>
      <c r="E132">
        <v>33.450000000000003</v>
      </c>
      <c r="F132">
        <v>-112.07</v>
      </c>
      <c r="G132" t="s">
        <v>24</v>
      </c>
      <c r="H132" t="s">
        <v>20</v>
      </c>
      <c r="I132">
        <v>21</v>
      </c>
      <c r="J132">
        <v>3.7</v>
      </c>
      <c r="K132">
        <v>3.2</v>
      </c>
      <c r="L132">
        <v>2.5</v>
      </c>
      <c r="M132">
        <v>5</v>
      </c>
      <c r="N132">
        <v>2</v>
      </c>
      <c r="O132">
        <v>3</v>
      </c>
      <c r="P132">
        <v>5</v>
      </c>
    </row>
    <row r="133" spans="1:16" x14ac:dyDescent="0.3">
      <c r="A133">
        <v>131</v>
      </c>
      <c r="B133" t="s">
        <v>259</v>
      </c>
      <c r="C133" t="s">
        <v>22</v>
      </c>
      <c r="D133" t="s">
        <v>260</v>
      </c>
      <c r="E133">
        <v>37.58</v>
      </c>
      <c r="F133">
        <v>-122.36</v>
      </c>
      <c r="G133" t="s">
        <v>19</v>
      </c>
      <c r="H133" t="s">
        <v>20</v>
      </c>
      <c r="I133">
        <v>19</v>
      </c>
      <c r="J133">
        <v>2.7</v>
      </c>
      <c r="K133">
        <v>3.7</v>
      </c>
      <c r="L133">
        <v>3.7</v>
      </c>
      <c r="M133">
        <v>5</v>
      </c>
      <c r="N133">
        <v>5</v>
      </c>
      <c r="O133">
        <v>4</v>
      </c>
      <c r="P133">
        <v>5</v>
      </c>
    </row>
    <row r="134" spans="1:16" x14ac:dyDescent="0.3">
      <c r="A134">
        <v>132</v>
      </c>
      <c r="B134" t="s">
        <v>261</v>
      </c>
      <c r="C134" t="s">
        <v>22</v>
      </c>
      <c r="D134" t="s">
        <v>262</v>
      </c>
      <c r="E134">
        <v>39.950000000000003</v>
      </c>
      <c r="F134">
        <v>-75.16</v>
      </c>
      <c r="G134" t="s">
        <v>19</v>
      </c>
      <c r="H134" t="s">
        <v>20</v>
      </c>
      <c r="I134">
        <v>22</v>
      </c>
      <c r="J134">
        <v>3.9</v>
      </c>
      <c r="K134">
        <v>3.7</v>
      </c>
      <c r="L134">
        <v>3.1</v>
      </c>
      <c r="M134">
        <v>5</v>
      </c>
      <c r="N134">
        <v>4</v>
      </c>
      <c r="O134">
        <v>4</v>
      </c>
      <c r="P134">
        <v>4</v>
      </c>
    </row>
    <row r="135" spans="1:16" x14ac:dyDescent="0.3">
      <c r="A135">
        <v>133</v>
      </c>
      <c r="B135" t="s">
        <v>263</v>
      </c>
      <c r="C135" t="s">
        <v>22</v>
      </c>
      <c r="D135" t="s">
        <v>264</v>
      </c>
      <c r="E135">
        <v>31.85</v>
      </c>
      <c r="F135">
        <v>-102.37</v>
      </c>
      <c r="G135" t="s">
        <v>24</v>
      </c>
      <c r="H135" t="s">
        <v>20</v>
      </c>
      <c r="I135">
        <v>25</v>
      </c>
      <c r="J135">
        <v>3.8</v>
      </c>
      <c r="K135">
        <v>2.2000000000000002</v>
      </c>
      <c r="L135">
        <v>3</v>
      </c>
      <c r="M135">
        <v>5</v>
      </c>
      <c r="N135">
        <v>3</v>
      </c>
      <c r="O135">
        <v>2</v>
      </c>
      <c r="P135">
        <v>3</v>
      </c>
    </row>
    <row r="136" spans="1:16" x14ac:dyDescent="0.3">
      <c r="A136">
        <v>134</v>
      </c>
      <c r="B136" t="s">
        <v>265</v>
      </c>
      <c r="C136" t="s">
        <v>115</v>
      </c>
      <c r="D136" t="s">
        <v>116</v>
      </c>
      <c r="E136">
        <v>55.75</v>
      </c>
      <c r="F136">
        <v>37.619999999999997</v>
      </c>
      <c r="G136" t="s">
        <v>19</v>
      </c>
      <c r="H136" t="s">
        <v>20</v>
      </c>
      <c r="I136">
        <v>24</v>
      </c>
      <c r="J136">
        <v>3.8</v>
      </c>
      <c r="K136">
        <v>3.1</v>
      </c>
      <c r="L136">
        <v>3.5</v>
      </c>
      <c r="M136">
        <v>4</v>
      </c>
      <c r="N136">
        <v>2</v>
      </c>
      <c r="O136">
        <v>5</v>
      </c>
      <c r="P136">
        <v>5</v>
      </c>
    </row>
    <row r="137" spans="1:16" x14ac:dyDescent="0.3">
      <c r="A137">
        <v>135</v>
      </c>
      <c r="B137" t="s">
        <v>266</v>
      </c>
      <c r="C137" t="s">
        <v>32</v>
      </c>
      <c r="D137" t="s">
        <v>40</v>
      </c>
      <c r="E137">
        <v>-23.47</v>
      </c>
      <c r="F137">
        <v>-46.67</v>
      </c>
      <c r="G137" t="s">
        <v>19</v>
      </c>
      <c r="H137" t="s">
        <v>20</v>
      </c>
      <c r="I137">
        <v>24</v>
      </c>
      <c r="J137">
        <v>3.9</v>
      </c>
      <c r="K137">
        <v>3.6</v>
      </c>
      <c r="L137">
        <v>3.2</v>
      </c>
      <c r="M137">
        <v>3</v>
      </c>
      <c r="N137">
        <v>4</v>
      </c>
      <c r="O137">
        <v>4</v>
      </c>
      <c r="P137">
        <v>4</v>
      </c>
    </row>
    <row r="138" spans="1:16" x14ac:dyDescent="0.3">
      <c r="A138">
        <v>136</v>
      </c>
      <c r="B138" t="s">
        <v>267</v>
      </c>
      <c r="C138" t="s">
        <v>22</v>
      </c>
      <c r="D138" t="s">
        <v>97</v>
      </c>
      <c r="E138">
        <v>33.450000000000003</v>
      </c>
      <c r="F138">
        <v>-112.07</v>
      </c>
      <c r="G138" t="s">
        <v>24</v>
      </c>
      <c r="H138" t="s">
        <v>20</v>
      </c>
      <c r="I138">
        <v>23</v>
      </c>
      <c r="J138">
        <v>3.9</v>
      </c>
      <c r="K138">
        <v>3</v>
      </c>
      <c r="L138">
        <v>3.7</v>
      </c>
      <c r="M138">
        <v>5</v>
      </c>
      <c r="N138">
        <v>5</v>
      </c>
      <c r="O138">
        <v>5</v>
      </c>
      <c r="P138">
        <v>5</v>
      </c>
    </row>
    <row r="139" spans="1:16" x14ac:dyDescent="0.3">
      <c r="A139">
        <v>137</v>
      </c>
      <c r="B139" t="s">
        <v>268</v>
      </c>
      <c r="C139" t="s">
        <v>22</v>
      </c>
      <c r="D139" t="s">
        <v>269</v>
      </c>
      <c r="E139">
        <v>34.020000000000003</v>
      </c>
      <c r="F139">
        <v>-118.17</v>
      </c>
      <c r="G139" t="s">
        <v>24</v>
      </c>
      <c r="H139" t="s">
        <v>20</v>
      </c>
      <c r="I139">
        <v>23</v>
      </c>
      <c r="J139">
        <v>3.1</v>
      </c>
      <c r="K139">
        <v>3.5</v>
      </c>
      <c r="L139">
        <v>3.8</v>
      </c>
      <c r="M139">
        <v>5</v>
      </c>
      <c r="N139">
        <v>4</v>
      </c>
      <c r="O139">
        <v>5</v>
      </c>
      <c r="P139">
        <v>4</v>
      </c>
    </row>
    <row r="140" spans="1:16" x14ac:dyDescent="0.3">
      <c r="A140">
        <v>138</v>
      </c>
      <c r="B140" t="s">
        <v>270</v>
      </c>
      <c r="C140" t="s">
        <v>22</v>
      </c>
      <c r="D140" t="s">
        <v>271</v>
      </c>
      <c r="E140">
        <v>38.130000000000003</v>
      </c>
      <c r="F140">
        <v>-121.27</v>
      </c>
      <c r="G140" t="s">
        <v>19</v>
      </c>
      <c r="H140" t="s">
        <v>20</v>
      </c>
      <c r="I140">
        <v>21</v>
      </c>
      <c r="J140">
        <v>3.5</v>
      </c>
      <c r="K140">
        <v>3.2</v>
      </c>
      <c r="L140">
        <v>3.9</v>
      </c>
      <c r="M140">
        <v>5</v>
      </c>
      <c r="N140">
        <v>3</v>
      </c>
      <c r="O140">
        <v>5</v>
      </c>
      <c r="P140">
        <v>4</v>
      </c>
    </row>
    <row r="141" spans="1:16" x14ac:dyDescent="0.3">
      <c r="A141">
        <v>139</v>
      </c>
      <c r="B141" t="s">
        <v>272</v>
      </c>
      <c r="C141" t="s">
        <v>69</v>
      </c>
      <c r="D141" t="s">
        <v>70</v>
      </c>
      <c r="E141">
        <v>43.67</v>
      </c>
      <c r="F141">
        <v>-79.42</v>
      </c>
      <c r="G141" t="s">
        <v>19</v>
      </c>
      <c r="H141" t="s">
        <v>20</v>
      </c>
      <c r="I141">
        <v>20</v>
      </c>
      <c r="J141">
        <v>3.8</v>
      </c>
      <c r="K141">
        <v>2.2999999999999998</v>
      </c>
      <c r="L141">
        <v>3.7</v>
      </c>
      <c r="M141">
        <v>5</v>
      </c>
      <c r="N141">
        <v>5</v>
      </c>
      <c r="O141">
        <v>4</v>
      </c>
      <c r="P141">
        <v>3</v>
      </c>
    </row>
    <row r="142" spans="1:16" x14ac:dyDescent="0.3">
      <c r="A142">
        <v>140</v>
      </c>
      <c r="B142" t="s">
        <v>273</v>
      </c>
      <c r="C142" t="s">
        <v>57</v>
      </c>
      <c r="D142" t="s">
        <v>274</v>
      </c>
      <c r="E142">
        <v>20.48</v>
      </c>
      <c r="F142">
        <v>-100.93</v>
      </c>
      <c r="G142" t="s">
        <v>19</v>
      </c>
      <c r="H142" t="s">
        <v>20</v>
      </c>
      <c r="I142">
        <v>19</v>
      </c>
      <c r="J142">
        <v>4</v>
      </c>
      <c r="K142">
        <v>3.8</v>
      </c>
      <c r="L142">
        <v>3.9</v>
      </c>
      <c r="M142">
        <v>3.7</v>
      </c>
      <c r="N142">
        <v>5</v>
      </c>
      <c r="O142">
        <v>5</v>
      </c>
      <c r="P142">
        <v>4</v>
      </c>
    </row>
    <row r="143" spans="1:16" x14ac:dyDescent="0.3">
      <c r="A143">
        <v>141</v>
      </c>
      <c r="B143" t="s">
        <v>275</v>
      </c>
      <c r="C143" t="s">
        <v>57</v>
      </c>
      <c r="D143" t="s">
        <v>276</v>
      </c>
      <c r="E143">
        <v>16.75</v>
      </c>
      <c r="F143">
        <v>-93.12</v>
      </c>
      <c r="G143" t="s">
        <v>24</v>
      </c>
      <c r="H143" t="s">
        <v>20</v>
      </c>
      <c r="I143">
        <v>21</v>
      </c>
      <c r="J143">
        <v>2.1</v>
      </c>
      <c r="K143">
        <v>3.7</v>
      </c>
      <c r="L143">
        <v>3.8</v>
      </c>
      <c r="M143">
        <v>4</v>
      </c>
      <c r="N143">
        <v>4</v>
      </c>
      <c r="O143">
        <v>5</v>
      </c>
      <c r="P143">
        <v>3</v>
      </c>
    </row>
    <row r="144" spans="1:16" x14ac:dyDescent="0.3">
      <c r="A144">
        <v>142</v>
      </c>
      <c r="B144" t="s">
        <v>277</v>
      </c>
      <c r="C144" t="s">
        <v>22</v>
      </c>
      <c r="D144" t="s">
        <v>97</v>
      </c>
      <c r="E144">
        <v>33.450000000000003</v>
      </c>
      <c r="F144">
        <v>-112.07</v>
      </c>
      <c r="G144" t="s">
        <v>19</v>
      </c>
      <c r="H144" t="s">
        <v>20</v>
      </c>
      <c r="I144">
        <v>20</v>
      </c>
      <c r="J144">
        <v>3.9</v>
      </c>
      <c r="K144">
        <v>3.8</v>
      </c>
      <c r="L144">
        <v>3.8</v>
      </c>
      <c r="M144">
        <v>5</v>
      </c>
      <c r="N144">
        <v>4</v>
      </c>
      <c r="O144">
        <v>4</v>
      </c>
      <c r="P144">
        <v>5</v>
      </c>
    </row>
    <row r="145" spans="1:16" x14ac:dyDescent="0.3">
      <c r="A145">
        <v>143</v>
      </c>
      <c r="B145" t="s">
        <v>278</v>
      </c>
      <c r="C145" t="s">
        <v>22</v>
      </c>
      <c r="D145" t="s">
        <v>279</v>
      </c>
      <c r="E145">
        <v>38.83</v>
      </c>
      <c r="F145">
        <v>-104.82</v>
      </c>
      <c r="G145" t="s">
        <v>19</v>
      </c>
      <c r="H145" t="s">
        <v>20</v>
      </c>
      <c r="I145">
        <v>21</v>
      </c>
      <c r="J145">
        <v>3.8</v>
      </c>
      <c r="K145">
        <v>3.9</v>
      </c>
      <c r="L145">
        <v>3.8</v>
      </c>
      <c r="M145">
        <v>5</v>
      </c>
      <c r="N145">
        <v>4</v>
      </c>
      <c r="O145">
        <v>4</v>
      </c>
      <c r="P145">
        <v>5</v>
      </c>
    </row>
    <row r="146" spans="1:16" x14ac:dyDescent="0.3">
      <c r="A146">
        <v>144</v>
      </c>
      <c r="B146" t="s">
        <v>280</v>
      </c>
      <c r="C146" t="s">
        <v>22</v>
      </c>
      <c r="D146" t="s">
        <v>157</v>
      </c>
      <c r="E146">
        <v>37.96</v>
      </c>
      <c r="F146">
        <v>-121.29</v>
      </c>
      <c r="G146" t="s">
        <v>24</v>
      </c>
      <c r="H146" t="s">
        <v>20</v>
      </c>
      <c r="I146">
        <v>23</v>
      </c>
      <c r="J146">
        <v>3.9</v>
      </c>
      <c r="K146">
        <v>3.7</v>
      </c>
      <c r="L146">
        <v>3.7</v>
      </c>
      <c r="M146">
        <v>5</v>
      </c>
      <c r="N146">
        <v>4</v>
      </c>
      <c r="O146">
        <v>5</v>
      </c>
      <c r="P146">
        <v>5</v>
      </c>
    </row>
    <row r="147" spans="1:16" x14ac:dyDescent="0.3">
      <c r="A147">
        <v>145</v>
      </c>
      <c r="B147" t="s">
        <v>281</v>
      </c>
      <c r="C147" t="s">
        <v>57</v>
      </c>
      <c r="D147" t="s">
        <v>57</v>
      </c>
      <c r="E147">
        <v>19.43</v>
      </c>
      <c r="F147">
        <v>-99.14</v>
      </c>
      <c r="G147" t="s">
        <v>19</v>
      </c>
      <c r="H147" t="s">
        <v>20</v>
      </c>
      <c r="I147">
        <v>21</v>
      </c>
      <c r="J147">
        <v>3.3</v>
      </c>
      <c r="K147">
        <v>3</v>
      </c>
      <c r="L147">
        <v>3.4</v>
      </c>
      <c r="M147">
        <v>3</v>
      </c>
      <c r="N147">
        <v>4</v>
      </c>
      <c r="O147">
        <v>4</v>
      </c>
      <c r="P147">
        <v>4</v>
      </c>
    </row>
    <row r="148" spans="1:16" x14ac:dyDescent="0.3">
      <c r="A148">
        <v>146</v>
      </c>
      <c r="B148" t="s">
        <v>282</v>
      </c>
      <c r="C148" t="s">
        <v>283</v>
      </c>
      <c r="D148" t="s">
        <v>284</v>
      </c>
      <c r="E148">
        <v>23.72</v>
      </c>
      <c r="F148">
        <v>90.41</v>
      </c>
      <c r="G148" t="s">
        <v>19</v>
      </c>
      <c r="H148" t="s">
        <v>20</v>
      </c>
      <c r="I148">
        <v>20</v>
      </c>
      <c r="J148">
        <v>3.9</v>
      </c>
      <c r="K148">
        <v>3.9</v>
      </c>
      <c r="L148">
        <v>3.9</v>
      </c>
      <c r="M148">
        <v>5</v>
      </c>
      <c r="N148">
        <v>5</v>
      </c>
      <c r="O148">
        <v>4</v>
      </c>
      <c r="P148">
        <v>5</v>
      </c>
    </row>
    <row r="149" spans="1:16" x14ac:dyDescent="0.3">
      <c r="A149">
        <v>147</v>
      </c>
      <c r="B149" t="s">
        <v>285</v>
      </c>
      <c r="C149" t="s">
        <v>22</v>
      </c>
      <c r="D149" t="s">
        <v>286</v>
      </c>
      <c r="E149">
        <v>36.04</v>
      </c>
      <c r="F149">
        <v>-114.98</v>
      </c>
      <c r="G149" t="s">
        <v>19</v>
      </c>
      <c r="H149" t="s">
        <v>20</v>
      </c>
      <c r="I149">
        <v>21</v>
      </c>
      <c r="J149">
        <v>3.8</v>
      </c>
      <c r="K149">
        <v>3.7</v>
      </c>
      <c r="L149">
        <v>3.8</v>
      </c>
      <c r="M149">
        <v>5</v>
      </c>
      <c r="N149">
        <v>5</v>
      </c>
      <c r="O149">
        <v>3</v>
      </c>
      <c r="P149">
        <v>5</v>
      </c>
    </row>
    <row r="150" spans="1:16" x14ac:dyDescent="0.3">
      <c r="A150">
        <v>148</v>
      </c>
      <c r="B150" t="s">
        <v>287</v>
      </c>
      <c r="C150" t="s">
        <v>57</v>
      </c>
      <c r="D150" t="s">
        <v>288</v>
      </c>
      <c r="E150">
        <v>31.87</v>
      </c>
      <c r="F150">
        <v>-116.62</v>
      </c>
      <c r="G150" t="s">
        <v>19</v>
      </c>
      <c r="H150" t="s">
        <v>20</v>
      </c>
      <c r="I150">
        <v>20</v>
      </c>
      <c r="J150">
        <v>2.2000000000000002</v>
      </c>
      <c r="K150">
        <v>3.8</v>
      </c>
      <c r="L150">
        <v>3.1</v>
      </c>
      <c r="M150">
        <v>2</v>
      </c>
      <c r="N150">
        <v>3</v>
      </c>
      <c r="O150">
        <v>4</v>
      </c>
      <c r="P150">
        <v>2</v>
      </c>
    </row>
    <row r="151" spans="1:16" x14ac:dyDescent="0.3">
      <c r="A151">
        <v>149</v>
      </c>
      <c r="B151" t="s">
        <v>289</v>
      </c>
      <c r="C151" t="s">
        <v>22</v>
      </c>
      <c r="D151" t="s">
        <v>109</v>
      </c>
      <c r="E151">
        <v>40.71</v>
      </c>
      <c r="F151">
        <v>-74.010000000000005</v>
      </c>
      <c r="G151" t="s">
        <v>24</v>
      </c>
      <c r="H151" t="s">
        <v>20</v>
      </c>
      <c r="I151">
        <v>23</v>
      </c>
      <c r="J151">
        <v>2</v>
      </c>
      <c r="K151">
        <v>3.7</v>
      </c>
      <c r="L151">
        <v>3.4</v>
      </c>
      <c r="M151">
        <v>5</v>
      </c>
      <c r="N151">
        <v>4</v>
      </c>
      <c r="O151">
        <v>3</v>
      </c>
      <c r="P151">
        <v>5</v>
      </c>
    </row>
    <row r="152" spans="1:16" x14ac:dyDescent="0.3">
      <c r="A152">
        <v>150</v>
      </c>
      <c r="B152" t="s">
        <v>290</v>
      </c>
      <c r="C152" t="s">
        <v>291</v>
      </c>
      <c r="D152" t="s">
        <v>292</v>
      </c>
      <c r="E152">
        <v>30.05</v>
      </c>
      <c r="F152">
        <v>31.25</v>
      </c>
      <c r="G152" t="s">
        <v>24</v>
      </c>
      <c r="H152" t="s">
        <v>20</v>
      </c>
      <c r="I152">
        <v>20</v>
      </c>
      <c r="J152">
        <v>1.5</v>
      </c>
      <c r="K152">
        <v>3.5</v>
      </c>
      <c r="L152">
        <v>3.2</v>
      </c>
      <c r="M152">
        <v>3</v>
      </c>
      <c r="N152">
        <v>3</v>
      </c>
      <c r="O152">
        <v>5</v>
      </c>
      <c r="P152">
        <v>4</v>
      </c>
    </row>
    <row r="153" spans="1:16" x14ac:dyDescent="0.3">
      <c r="A153">
        <v>151</v>
      </c>
      <c r="B153" t="s">
        <v>293</v>
      </c>
      <c r="C153" t="s">
        <v>22</v>
      </c>
      <c r="D153" t="s">
        <v>294</v>
      </c>
      <c r="E153">
        <v>33.42</v>
      </c>
      <c r="F153">
        <v>-111.82</v>
      </c>
      <c r="G153" t="s">
        <v>24</v>
      </c>
      <c r="H153" t="s">
        <v>20</v>
      </c>
      <c r="I153">
        <v>22</v>
      </c>
      <c r="J153">
        <v>2.4</v>
      </c>
      <c r="K153">
        <v>3.5</v>
      </c>
      <c r="L153">
        <v>3.6</v>
      </c>
      <c r="M153">
        <v>5</v>
      </c>
      <c r="N153">
        <v>3</v>
      </c>
      <c r="O153">
        <v>5</v>
      </c>
      <c r="P153">
        <v>5</v>
      </c>
    </row>
    <row r="154" spans="1:16" x14ac:dyDescent="0.3">
      <c r="A154">
        <v>152</v>
      </c>
      <c r="B154" t="s">
        <v>295</v>
      </c>
      <c r="C154" t="s">
        <v>22</v>
      </c>
      <c r="D154" t="s">
        <v>296</v>
      </c>
      <c r="E154">
        <v>38.25</v>
      </c>
      <c r="F154">
        <v>-122.04</v>
      </c>
      <c r="G154" t="s">
        <v>24</v>
      </c>
      <c r="H154" t="s">
        <v>20</v>
      </c>
      <c r="I154">
        <v>23</v>
      </c>
      <c r="J154">
        <v>2.9</v>
      </c>
      <c r="K154">
        <v>3.7</v>
      </c>
      <c r="L154">
        <v>1.5</v>
      </c>
      <c r="M154">
        <v>5</v>
      </c>
      <c r="N154">
        <v>3</v>
      </c>
      <c r="O154">
        <v>5</v>
      </c>
      <c r="P154">
        <v>3</v>
      </c>
    </row>
    <row r="155" spans="1:16" x14ac:dyDescent="0.3">
      <c r="A155">
        <v>153</v>
      </c>
      <c r="B155" t="s">
        <v>297</v>
      </c>
      <c r="C155" t="s">
        <v>22</v>
      </c>
      <c r="D155" t="s">
        <v>142</v>
      </c>
      <c r="E155">
        <v>32.72</v>
      </c>
      <c r="F155">
        <v>-117.16</v>
      </c>
      <c r="G155" t="s">
        <v>19</v>
      </c>
      <c r="H155" t="s">
        <v>20</v>
      </c>
      <c r="I155">
        <v>23</v>
      </c>
      <c r="J155">
        <v>3.7</v>
      </c>
      <c r="K155">
        <v>2.9</v>
      </c>
      <c r="L155">
        <v>3.9</v>
      </c>
      <c r="M155">
        <v>5</v>
      </c>
      <c r="N155">
        <v>3</v>
      </c>
      <c r="O155">
        <v>4</v>
      </c>
      <c r="P155">
        <v>5</v>
      </c>
    </row>
    <row r="156" spans="1:16" x14ac:dyDescent="0.3">
      <c r="A156">
        <v>154</v>
      </c>
      <c r="B156" t="s">
        <v>298</v>
      </c>
      <c r="C156" t="s">
        <v>22</v>
      </c>
      <c r="D156" t="s">
        <v>65</v>
      </c>
      <c r="E156">
        <v>34.049999999999997</v>
      </c>
      <c r="F156">
        <v>-118.24</v>
      </c>
      <c r="G156" t="s">
        <v>19</v>
      </c>
      <c r="H156" t="s">
        <v>20</v>
      </c>
      <c r="I156">
        <v>24</v>
      </c>
      <c r="J156">
        <v>3.7</v>
      </c>
      <c r="K156">
        <v>3.9</v>
      </c>
      <c r="L156">
        <v>4</v>
      </c>
      <c r="M156">
        <v>5</v>
      </c>
      <c r="N156">
        <v>4</v>
      </c>
      <c r="O156">
        <v>5</v>
      </c>
      <c r="P156">
        <v>4</v>
      </c>
    </row>
    <row r="157" spans="1:16" x14ac:dyDescent="0.3">
      <c r="A157">
        <v>155</v>
      </c>
      <c r="B157" t="s">
        <v>299</v>
      </c>
      <c r="C157" t="s">
        <v>22</v>
      </c>
      <c r="D157" t="s">
        <v>65</v>
      </c>
      <c r="E157">
        <v>34.049999999999997</v>
      </c>
      <c r="F157">
        <v>-118.24</v>
      </c>
      <c r="G157" t="s">
        <v>19</v>
      </c>
      <c r="H157" t="s">
        <v>20</v>
      </c>
      <c r="I157">
        <v>20</v>
      </c>
      <c r="J157">
        <v>3.9</v>
      </c>
      <c r="K157">
        <v>3.7</v>
      </c>
      <c r="L157">
        <v>3.7</v>
      </c>
      <c r="M157">
        <v>5</v>
      </c>
      <c r="N157">
        <v>4</v>
      </c>
      <c r="O157">
        <v>5</v>
      </c>
      <c r="P157">
        <v>4</v>
      </c>
    </row>
    <row r="158" spans="1:16" x14ac:dyDescent="0.3">
      <c r="A158">
        <v>156</v>
      </c>
      <c r="B158" t="s">
        <v>300</v>
      </c>
      <c r="C158" t="s">
        <v>22</v>
      </c>
      <c r="D158" t="s">
        <v>301</v>
      </c>
      <c r="E158">
        <v>39.1</v>
      </c>
      <c r="F158">
        <v>-94.58</v>
      </c>
      <c r="G158" t="s">
        <v>19</v>
      </c>
      <c r="H158" t="s">
        <v>20</v>
      </c>
      <c r="I158">
        <v>23</v>
      </c>
      <c r="J158">
        <v>3</v>
      </c>
      <c r="K158">
        <v>3.9</v>
      </c>
      <c r="L158">
        <v>3.9</v>
      </c>
      <c r="M158">
        <v>5</v>
      </c>
      <c r="N158">
        <v>5</v>
      </c>
      <c r="O158">
        <v>5</v>
      </c>
      <c r="P158">
        <v>5</v>
      </c>
    </row>
    <row r="159" spans="1:16" x14ac:dyDescent="0.3">
      <c r="A159">
        <v>157</v>
      </c>
      <c r="B159" t="s">
        <v>302</v>
      </c>
      <c r="C159" t="s">
        <v>22</v>
      </c>
      <c r="D159" t="s">
        <v>303</v>
      </c>
      <c r="E159">
        <v>33.61</v>
      </c>
      <c r="F159">
        <v>-117.71</v>
      </c>
      <c r="G159" t="s">
        <v>19</v>
      </c>
      <c r="H159" t="s">
        <v>20</v>
      </c>
      <c r="I159">
        <v>21</v>
      </c>
      <c r="J159">
        <v>3.9</v>
      </c>
      <c r="K159">
        <v>3.2</v>
      </c>
      <c r="L159">
        <v>3.2</v>
      </c>
      <c r="M159">
        <v>5</v>
      </c>
      <c r="N159">
        <v>2</v>
      </c>
      <c r="O159">
        <v>4</v>
      </c>
      <c r="P159">
        <v>4</v>
      </c>
    </row>
    <row r="160" spans="1:16" x14ac:dyDescent="0.3">
      <c r="A160">
        <v>158</v>
      </c>
      <c r="B160" t="s">
        <v>304</v>
      </c>
      <c r="C160" t="s">
        <v>22</v>
      </c>
      <c r="D160" t="s">
        <v>262</v>
      </c>
      <c r="E160">
        <v>39.950000000000003</v>
      </c>
      <c r="F160">
        <v>-75.16</v>
      </c>
      <c r="G160" t="s">
        <v>19</v>
      </c>
      <c r="H160" t="s">
        <v>20</v>
      </c>
      <c r="I160">
        <v>22</v>
      </c>
      <c r="J160">
        <v>3.5</v>
      </c>
      <c r="K160">
        <v>3.8</v>
      </c>
      <c r="L160">
        <v>3.1</v>
      </c>
      <c r="M160">
        <v>5</v>
      </c>
      <c r="N160">
        <v>4</v>
      </c>
      <c r="O160">
        <v>4</v>
      </c>
      <c r="P160">
        <v>4</v>
      </c>
    </row>
    <row r="161" spans="1:16" x14ac:dyDescent="0.3">
      <c r="A161">
        <v>159</v>
      </c>
      <c r="B161" t="s">
        <v>305</v>
      </c>
      <c r="C161" t="s">
        <v>22</v>
      </c>
      <c r="D161" t="s">
        <v>150</v>
      </c>
      <c r="E161">
        <v>37.340000000000003</v>
      </c>
      <c r="F161">
        <v>-121.89</v>
      </c>
      <c r="G161" t="s">
        <v>24</v>
      </c>
      <c r="H161" t="s">
        <v>20</v>
      </c>
      <c r="I161">
        <v>24</v>
      </c>
      <c r="J161">
        <v>3.9</v>
      </c>
      <c r="K161">
        <v>3.9</v>
      </c>
      <c r="L161">
        <v>3.7</v>
      </c>
      <c r="M161">
        <v>5</v>
      </c>
      <c r="N161">
        <v>5</v>
      </c>
      <c r="O161">
        <v>5</v>
      </c>
      <c r="P161">
        <v>3</v>
      </c>
    </row>
    <row r="162" spans="1:16" x14ac:dyDescent="0.3">
      <c r="A162">
        <v>160</v>
      </c>
      <c r="B162" t="s">
        <v>306</v>
      </c>
      <c r="C162" t="s">
        <v>22</v>
      </c>
      <c r="D162" t="s">
        <v>52</v>
      </c>
      <c r="E162">
        <v>41.85</v>
      </c>
      <c r="F162">
        <v>-87.65</v>
      </c>
      <c r="G162" t="s">
        <v>24</v>
      </c>
      <c r="H162" t="s">
        <v>20</v>
      </c>
      <c r="I162">
        <v>21</v>
      </c>
      <c r="J162">
        <v>3.9</v>
      </c>
      <c r="K162">
        <v>3.8</v>
      </c>
      <c r="L162">
        <v>3.8</v>
      </c>
      <c r="M162">
        <v>5</v>
      </c>
      <c r="N162">
        <v>5</v>
      </c>
      <c r="O162">
        <v>4</v>
      </c>
      <c r="P162">
        <v>5</v>
      </c>
    </row>
    <row r="163" spans="1:16" x14ac:dyDescent="0.3">
      <c r="A163">
        <v>161</v>
      </c>
      <c r="B163" t="s">
        <v>307</v>
      </c>
      <c r="C163" t="s">
        <v>22</v>
      </c>
      <c r="D163" t="s">
        <v>150</v>
      </c>
      <c r="E163">
        <v>37.340000000000003</v>
      </c>
      <c r="F163">
        <v>-121.89</v>
      </c>
      <c r="G163" t="s">
        <v>19</v>
      </c>
      <c r="H163" t="s">
        <v>20</v>
      </c>
      <c r="I163">
        <v>23</v>
      </c>
      <c r="J163">
        <v>3</v>
      </c>
      <c r="K163">
        <v>3.9</v>
      </c>
      <c r="L163">
        <v>3.7</v>
      </c>
      <c r="M163">
        <v>5</v>
      </c>
      <c r="N163">
        <v>5</v>
      </c>
      <c r="O163">
        <v>4</v>
      </c>
      <c r="P163">
        <v>4</v>
      </c>
    </row>
    <row r="164" spans="1:16" x14ac:dyDescent="0.3">
      <c r="A164">
        <v>162</v>
      </c>
      <c r="B164" t="s">
        <v>308</v>
      </c>
      <c r="C164" t="s">
        <v>17</v>
      </c>
      <c r="D164" t="s">
        <v>309</v>
      </c>
      <c r="E164">
        <v>37.33</v>
      </c>
      <c r="F164">
        <v>114.7</v>
      </c>
      <c r="G164" t="s">
        <v>19</v>
      </c>
      <c r="H164" t="s">
        <v>20</v>
      </c>
      <c r="I164">
        <v>22</v>
      </c>
      <c r="J164">
        <v>1.8</v>
      </c>
      <c r="K164">
        <v>3.8</v>
      </c>
      <c r="L164">
        <v>4</v>
      </c>
      <c r="M164">
        <v>4</v>
      </c>
      <c r="N164">
        <v>4</v>
      </c>
      <c r="O164">
        <v>3</v>
      </c>
      <c r="P164">
        <v>4</v>
      </c>
    </row>
    <row r="165" spans="1:16" x14ac:dyDescent="0.3">
      <c r="A165">
        <v>163</v>
      </c>
      <c r="B165" t="s">
        <v>310</v>
      </c>
      <c r="C165" t="s">
        <v>22</v>
      </c>
      <c r="D165" t="s">
        <v>65</v>
      </c>
      <c r="E165">
        <v>34.049999999999997</v>
      </c>
      <c r="F165">
        <v>-118.24</v>
      </c>
      <c r="G165" t="s">
        <v>24</v>
      </c>
      <c r="H165" t="s">
        <v>20</v>
      </c>
      <c r="I165">
        <v>21</v>
      </c>
      <c r="J165">
        <v>3.4</v>
      </c>
      <c r="K165">
        <v>2.7</v>
      </c>
      <c r="L165">
        <v>3.9</v>
      </c>
      <c r="M165">
        <v>5</v>
      </c>
      <c r="N165">
        <v>4</v>
      </c>
      <c r="O165">
        <v>4</v>
      </c>
      <c r="P165">
        <v>3</v>
      </c>
    </row>
    <row r="166" spans="1:16" x14ac:dyDescent="0.3">
      <c r="A166">
        <v>164</v>
      </c>
      <c r="B166" t="s">
        <v>311</v>
      </c>
      <c r="C166" t="s">
        <v>62</v>
      </c>
      <c r="D166" t="s">
        <v>63</v>
      </c>
      <c r="E166">
        <v>35.69</v>
      </c>
      <c r="F166">
        <v>139.75</v>
      </c>
      <c r="G166" t="s">
        <v>19</v>
      </c>
      <c r="H166" t="s">
        <v>20</v>
      </c>
      <c r="I166">
        <v>24</v>
      </c>
      <c r="J166">
        <v>3.8</v>
      </c>
      <c r="K166">
        <v>2.9</v>
      </c>
      <c r="L166">
        <v>2.9</v>
      </c>
      <c r="M166">
        <v>4</v>
      </c>
      <c r="N166">
        <v>5</v>
      </c>
      <c r="O166">
        <v>3</v>
      </c>
      <c r="P166">
        <v>2</v>
      </c>
    </row>
    <row r="167" spans="1:16" x14ac:dyDescent="0.3">
      <c r="A167">
        <v>165</v>
      </c>
      <c r="B167" t="s">
        <v>312</v>
      </c>
      <c r="C167" t="s">
        <v>313</v>
      </c>
      <c r="D167" t="s">
        <v>314</v>
      </c>
      <c r="E167">
        <v>51.51</v>
      </c>
      <c r="F167">
        <v>31.28</v>
      </c>
      <c r="G167" t="s">
        <v>24</v>
      </c>
      <c r="H167" t="s">
        <v>20</v>
      </c>
      <c r="I167">
        <v>22</v>
      </c>
      <c r="J167">
        <v>3.1</v>
      </c>
      <c r="K167">
        <v>3.3</v>
      </c>
      <c r="L167">
        <v>3.9</v>
      </c>
      <c r="M167">
        <v>3</v>
      </c>
      <c r="N167">
        <v>4</v>
      </c>
      <c r="O167">
        <v>5</v>
      </c>
      <c r="P167">
        <v>4</v>
      </c>
    </row>
    <row r="168" spans="1:16" x14ac:dyDescent="0.3">
      <c r="A168">
        <v>166</v>
      </c>
      <c r="B168" t="s">
        <v>315</v>
      </c>
      <c r="C168" t="s">
        <v>22</v>
      </c>
      <c r="D168" t="s">
        <v>65</v>
      </c>
      <c r="E168">
        <v>34.049999999999997</v>
      </c>
      <c r="F168">
        <v>-118.24</v>
      </c>
      <c r="G168" t="s">
        <v>24</v>
      </c>
      <c r="H168" t="s">
        <v>20</v>
      </c>
      <c r="I168">
        <v>22</v>
      </c>
      <c r="J168">
        <v>3</v>
      </c>
      <c r="K168">
        <v>2.7</v>
      </c>
      <c r="L168">
        <v>3.8</v>
      </c>
      <c r="M168">
        <v>5</v>
      </c>
      <c r="N168">
        <v>4</v>
      </c>
      <c r="O168">
        <v>2</v>
      </c>
      <c r="P168">
        <v>5</v>
      </c>
    </row>
    <row r="169" spans="1:16" x14ac:dyDescent="0.3">
      <c r="A169">
        <v>167</v>
      </c>
      <c r="B169" t="s">
        <v>316</v>
      </c>
      <c r="C169" t="s">
        <v>22</v>
      </c>
      <c r="D169" t="s">
        <v>317</v>
      </c>
      <c r="E169">
        <v>32.950000000000003</v>
      </c>
      <c r="F169">
        <v>-96.89</v>
      </c>
      <c r="G169" t="s">
        <v>19</v>
      </c>
      <c r="H169" t="s">
        <v>20</v>
      </c>
      <c r="I169">
        <v>23</v>
      </c>
      <c r="J169">
        <v>2.8</v>
      </c>
      <c r="K169">
        <v>3.9</v>
      </c>
      <c r="L169">
        <v>3.3</v>
      </c>
      <c r="M169">
        <v>5</v>
      </c>
      <c r="N169">
        <v>5</v>
      </c>
      <c r="O169">
        <v>5</v>
      </c>
      <c r="P169">
        <v>5</v>
      </c>
    </row>
    <row r="170" spans="1:16" x14ac:dyDescent="0.3">
      <c r="A170">
        <v>168</v>
      </c>
      <c r="B170" t="s">
        <v>318</v>
      </c>
      <c r="C170" t="s">
        <v>22</v>
      </c>
      <c r="D170" t="s">
        <v>319</v>
      </c>
      <c r="E170">
        <v>34.11</v>
      </c>
      <c r="F170">
        <v>-117.29</v>
      </c>
      <c r="G170" t="s">
        <v>19</v>
      </c>
      <c r="H170" t="s">
        <v>20</v>
      </c>
      <c r="I170">
        <v>23</v>
      </c>
      <c r="J170">
        <v>3.9</v>
      </c>
      <c r="K170">
        <v>3.4</v>
      </c>
      <c r="L170">
        <v>4</v>
      </c>
      <c r="M170">
        <v>5</v>
      </c>
      <c r="N170">
        <v>3</v>
      </c>
      <c r="O170">
        <v>3</v>
      </c>
      <c r="P170">
        <v>4</v>
      </c>
    </row>
    <row r="171" spans="1:16" x14ac:dyDescent="0.3">
      <c r="A171">
        <v>169</v>
      </c>
      <c r="B171" t="s">
        <v>320</v>
      </c>
      <c r="C171" t="s">
        <v>57</v>
      </c>
      <c r="D171" t="s">
        <v>57</v>
      </c>
      <c r="E171">
        <v>19.43</v>
      </c>
      <c r="F171">
        <v>-99.14</v>
      </c>
      <c r="G171" t="s">
        <v>19</v>
      </c>
      <c r="H171" t="s">
        <v>20</v>
      </c>
      <c r="I171">
        <v>21</v>
      </c>
      <c r="J171">
        <v>3.7</v>
      </c>
      <c r="K171">
        <v>3</v>
      </c>
      <c r="L171">
        <v>3.7</v>
      </c>
      <c r="M171">
        <v>4</v>
      </c>
      <c r="N171">
        <v>4</v>
      </c>
      <c r="O171">
        <v>3</v>
      </c>
      <c r="P171">
        <v>2</v>
      </c>
    </row>
    <row r="172" spans="1:16" x14ac:dyDescent="0.3">
      <c r="A172">
        <v>170</v>
      </c>
      <c r="B172" t="s">
        <v>321</v>
      </c>
      <c r="C172" t="s">
        <v>22</v>
      </c>
      <c r="D172" t="s">
        <v>322</v>
      </c>
      <c r="E172">
        <v>36.68</v>
      </c>
      <c r="F172">
        <v>-121.65</v>
      </c>
      <c r="G172" t="s">
        <v>24</v>
      </c>
      <c r="H172" t="s">
        <v>20</v>
      </c>
      <c r="I172">
        <v>23</v>
      </c>
      <c r="J172">
        <v>3.6</v>
      </c>
      <c r="K172">
        <v>3.4</v>
      </c>
      <c r="L172">
        <v>4</v>
      </c>
      <c r="M172">
        <v>5</v>
      </c>
      <c r="N172">
        <v>5</v>
      </c>
      <c r="O172">
        <v>4</v>
      </c>
      <c r="P172">
        <v>3</v>
      </c>
    </row>
    <row r="173" spans="1:16" x14ac:dyDescent="0.3">
      <c r="A173">
        <v>171</v>
      </c>
      <c r="B173" t="s">
        <v>323</v>
      </c>
      <c r="C173" t="s">
        <v>46</v>
      </c>
      <c r="D173" t="s">
        <v>324</v>
      </c>
      <c r="E173">
        <v>39.909999999999997</v>
      </c>
      <c r="F173">
        <v>32.840000000000003</v>
      </c>
      <c r="G173" t="s">
        <v>19</v>
      </c>
      <c r="H173" t="s">
        <v>20</v>
      </c>
      <c r="I173">
        <v>21</v>
      </c>
      <c r="J173">
        <v>2.8</v>
      </c>
      <c r="K173">
        <v>2.6</v>
      </c>
      <c r="L173">
        <v>3.9</v>
      </c>
      <c r="M173">
        <v>3</v>
      </c>
      <c r="N173">
        <v>4</v>
      </c>
      <c r="O173">
        <v>3</v>
      </c>
      <c r="P173">
        <v>4</v>
      </c>
    </row>
    <row r="174" spans="1:16" x14ac:dyDescent="0.3">
      <c r="A174">
        <v>172</v>
      </c>
      <c r="B174" t="s">
        <v>325</v>
      </c>
      <c r="C174" t="s">
        <v>102</v>
      </c>
      <c r="D174" t="s">
        <v>326</v>
      </c>
      <c r="E174">
        <v>12.98</v>
      </c>
      <c r="F174">
        <v>77.58</v>
      </c>
      <c r="G174" t="s">
        <v>24</v>
      </c>
      <c r="H174" t="s">
        <v>20</v>
      </c>
      <c r="I174">
        <v>21</v>
      </c>
      <c r="J174">
        <v>3.4</v>
      </c>
      <c r="K174">
        <v>3</v>
      </c>
      <c r="L174">
        <v>3.6</v>
      </c>
      <c r="M174">
        <v>3</v>
      </c>
      <c r="N174">
        <v>5</v>
      </c>
      <c r="O174">
        <v>5</v>
      </c>
      <c r="P174">
        <v>4</v>
      </c>
    </row>
    <row r="175" spans="1:16" x14ac:dyDescent="0.3">
      <c r="A175">
        <v>173</v>
      </c>
      <c r="B175" t="s">
        <v>327</v>
      </c>
      <c r="C175" t="s">
        <v>328</v>
      </c>
      <c r="D175" t="s">
        <v>329</v>
      </c>
      <c r="E175">
        <v>51.51</v>
      </c>
      <c r="F175">
        <v>-0.09</v>
      </c>
      <c r="G175" t="s">
        <v>24</v>
      </c>
      <c r="H175" t="s">
        <v>20</v>
      </c>
      <c r="I175">
        <v>19</v>
      </c>
      <c r="J175">
        <v>3.2</v>
      </c>
      <c r="K175">
        <v>3.7</v>
      </c>
      <c r="L175">
        <v>3.9</v>
      </c>
      <c r="M175">
        <v>5</v>
      </c>
      <c r="N175">
        <v>3</v>
      </c>
      <c r="O175">
        <v>5</v>
      </c>
      <c r="P175">
        <v>4</v>
      </c>
    </row>
    <row r="176" spans="1:16" x14ac:dyDescent="0.3">
      <c r="A176">
        <v>174</v>
      </c>
      <c r="B176" t="s">
        <v>330</v>
      </c>
      <c r="C176" t="s">
        <v>22</v>
      </c>
      <c r="D176" t="s">
        <v>65</v>
      </c>
      <c r="E176">
        <v>34.049999999999997</v>
      </c>
      <c r="F176">
        <v>-118.24</v>
      </c>
      <c r="G176" t="s">
        <v>24</v>
      </c>
      <c r="H176" t="s">
        <v>20</v>
      </c>
      <c r="I176">
        <v>22</v>
      </c>
      <c r="J176">
        <v>4</v>
      </c>
      <c r="K176">
        <v>3.7</v>
      </c>
      <c r="L176">
        <v>3.8</v>
      </c>
      <c r="M176">
        <v>5</v>
      </c>
      <c r="N176">
        <v>3</v>
      </c>
      <c r="O176">
        <v>3</v>
      </c>
      <c r="P176">
        <v>3</v>
      </c>
    </row>
    <row r="177" spans="1:16" x14ac:dyDescent="0.3">
      <c r="A177">
        <v>175</v>
      </c>
      <c r="B177" t="s">
        <v>331</v>
      </c>
      <c r="C177" t="s">
        <v>102</v>
      </c>
      <c r="D177" t="s">
        <v>332</v>
      </c>
      <c r="E177">
        <v>15.27</v>
      </c>
      <c r="F177">
        <v>76.400000000000006</v>
      </c>
      <c r="G177" t="s">
        <v>19</v>
      </c>
      <c r="H177" t="s">
        <v>20</v>
      </c>
      <c r="I177">
        <v>22</v>
      </c>
      <c r="J177">
        <v>3.9</v>
      </c>
      <c r="K177">
        <v>3.7</v>
      </c>
      <c r="L177">
        <v>3.8</v>
      </c>
      <c r="M177">
        <v>4</v>
      </c>
      <c r="N177">
        <v>4</v>
      </c>
      <c r="O177">
        <v>4</v>
      </c>
      <c r="P177">
        <v>4</v>
      </c>
    </row>
    <row r="178" spans="1:16" x14ac:dyDescent="0.3">
      <c r="A178">
        <v>176</v>
      </c>
      <c r="B178" t="s">
        <v>333</v>
      </c>
      <c r="C178" t="s">
        <v>17</v>
      </c>
      <c r="D178" t="s">
        <v>309</v>
      </c>
      <c r="E178">
        <v>37.33</v>
      </c>
      <c r="F178">
        <v>114.7</v>
      </c>
      <c r="G178" t="s">
        <v>24</v>
      </c>
      <c r="H178" t="s">
        <v>20</v>
      </c>
      <c r="I178">
        <v>21</v>
      </c>
      <c r="J178">
        <v>3.7</v>
      </c>
      <c r="K178">
        <v>4</v>
      </c>
      <c r="L178">
        <v>3.8</v>
      </c>
      <c r="M178">
        <v>4</v>
      </c>
      <c r="N178">
        <v>4</v>
      </c>
      <c r="O178">
        <v>4</v>
      </c>
      <c r="P178">
        <v>5</v>
      </c>
    </row>
    <row r="179" spans="1:16" x14ac:dyDescent="0.3">
      <c r="A179">
        <v>177</v>
      </c>
      <c r="B179" t="s">
        <v>334</v>
      </c>
      <c r="C179" t="s">
        <v>115</v>
      </c>
      <c r="D179" t="s">
        <v>116</v>
      </c>
      <c r="E179">
        <v>55.75</v>
      </c>
      <c r="F179">
        <v>37.619999999999997</v>
      </c>
      <c r="G179" t="s">
        <v>24</v>
      </c>
      <c r="H179" t="s">
        <v>20</v>
      </c>
      <c r="I179">
        <v>23</v>
      </c>
      <c r="J179">
        <v>3.9</v>
      </c>
      <c r="K179">
        <v>3.9</v>
      </c>
      <c r="L179">
        <v>4</v>
      </c>
      <c r="M179">
        <v>4</v>
      </c>
      <c r="N179">
        <v>5</v>
      </c>
      <c r="O179">
        <v>5</v>
      </c>
      <c r="P179">
        <v>5</v>
      </c>
    </row>
    <row r="180" spans="1:16" x14ac:dyDescent="0.3">
      <c r="A180">
        <v>178</v>
      </c>
      <c r="B180" t="s">
        <v>335</v>
      </c>
      <c r="C180" t="s">
        <v>57</v>
      </c>
      <c r="D180" t="s">
        <v>336</v>
      </c>
      <c r="E180">
        <v>29.07</v>
      </c>
      <c r="F180">
        <v>-110.97</v>
      </c>
      <c r="G180" t="s">
        <v>24</v>
      </c>
      <c r="H180" t="s">
        <v>20</v>
      </c>
      <c r="I180">
        <v>23</v>
      </c>
      <c r="J180">
        <v>3.6</v>
      </c>
      <c r="K180">
        <v>3</v>
      </c>
      <c r="L180">
        <v>3</v>
      </c>
      <c r="M180">
        <v>3</v>
      </c>
      <c r="N180">
        <v>5</v>
      </c>
      <c r="O180">
        <v>4</v>
      </c>
      <c r="P180">
        <v>4</v>
      </c>
    </row>
    <row r="181" spans="1:16" x14ac:dyDescent="0.3">
      <c r="A181">
        <v>179</v>
      </c>
      <c r="B181" t="s">
        <v>337</v>
      </c>
      <c r="C181" t="s">
        <v>22</v>
      </c>
      <c r="D181" t="s">
        <v>97</v>
      </c>
      <c r="E181">
        <v>33.450000000000003</v>
      </c>
      <c r="F181">
        <v>-112.07</v>
      </c>
      <c r="G181" t="s">
        <v>24</v>
      </c>
      <c r="H181" t="s">
        <v>20</v>
      </c>
      <c r="I181">
        <v>22</v>
      </c>
      <c r="J181">
        <v>3.9</v>
      </c>
      <c r="K181">
        <v>3.4</v>
      </c>
      <c r="L181">
        <v>3.7</v>
      </c>
      <c r="M181">
        <v>5</v>
      </c>
      <c r="N181">
        <v>3</v>
      </c>
      <c r="O181">
        <v>5</v>
      </c>
      <c r="P181">
        <v>3</v>
      </c>
    </row>
    <row r="182" spans="1:16" x14ac:dyDescent="0.3">
      <c r="A182">
        <v>180</v>
      </c>
      <c r="B182" t="s">
        <v>338</v>
      </c>
      <c r="C182" t="s">
        <v>32</v>
      </c>
      <c r="D182" t="s">
        <v>339</v>
      </c>
      <c r="E182">
        <v>-22.9</v>
      </c>
      <c r="F182">
        <v>-43.23</v>
      </c>
      <c r="G182" t="s">
        <v>19</v>
      </c>
      <c r="H182" t="s">
        <v>20</v>
      </c>
      <c r="I182">
        <v>24</v>
      </c>
      <c r="J182">
        <v>3.9</v>
      </c>
      <c r="K182">
        <v>3.1</v>
      </c>
      <c r="L182">
        <v>3</v>
      </c>
      <c r="M182">
        <v>1</v>
      </c>
      <c r="N182">
        <v>4</v>
      </c>
      <c r="O182">
        <v>5</v>
      </c>
      <c r="P182">
        <v>4</v>
      </c>
    </row>
    <row r="183" spans="1:16" x14ac:dyDescent="0.3">
      <c r="A183">
        <v>181</v>
      </c>
      <c r="B183" t="s">
        <v>340</v>
      </c>
      <c r="C183" t="s">
        <v>22</v>
      </c>
      <c r="D183" t="s">
        <v>150</v>
      </c>
      <c r="E183">
        <v>37.340000000000003</v>
      </c>
      <c r="F183">
        <v>-121.89</v>
      </c>
      <c r="G183" t="s">
        <v>19</v>
      </c>
      <c r="H183" t="s">
        <v>20</v>
      </c>
      <c r="I183">
        <v>20</v>
      </c>
      <c r="J183">
        <v>4</v>
      </c>
      <c r="K183">
        <v>3.5</v>
      </c>
      <c r="L183">
        <v>3.2</v>
      </c>
      <c r="M183">
        <v>5</v>
      </c>
      <c r="N183">
        <v>5</v>
      </c>
      <c r="O183">
        <v>5</v>
      </c>
      <c r="P183">
        <v>4</v>
      </c>
    </row>
    <row r="184" spans="1:16" x14ac:dyDescent="0.3">
      <c r="A184">
        <v>182</v>
      </c>
      <c r="B184" t="s">
        <v>341</v>
      </c>
      <c r="C184" t="s">
        <v>22</v>
      </c>
      <c r="D184" t="s">
        <v>342</v>
      </c>
      <c r="E184">
        <v>39.29</v>
      </c>
      <c r="F184">
        <v>-76.61</v>
      </c>
      <c r="G184" t="s">
        <v>24</v>
      </c>
      <c r="H184" t="s">
        <v>20</v>
      </c>
      <c r="I184">
        <v>22</v>
      </c>
      <c r="J184">
        <v>3.7</v>
      </c>
      <c r="K184">
        <v>4</v>
      </c>
      <c r="L184">
        <v>3.8</v>
      </c>
      <c r="M184">
        <v>5</v>
      </c>
      <c r="N184">
        <v>5</v>
      </c>
      <c r="O184">
        <v>4</v>
      </c>
      <c r="P184">
        <v>5</v>
      </c>
    </row>
    <row r="185" spans="1:16" x14ac:dyDescent="0.3">
      <c r="A185">
        <v>183</v>
      </c>
      <c r="B185" t="s">
        <v>343</v>
      </c>
      <c r="C185" t="s">
        <v>203</v>
      </c>
      <c r="D185" t="s">
        <v>344</v>
      </c>
      <c r="E185">
        <v>4.6500000000000004</v>
      </c>
      <c r="F185">
        <v>-74.06</v>
      </c>
      <c r="G185" t="s">
        <v>19</v>
      </c>
      <c r="H185" t="s">
        <v>20</v>
      </c>
      <c r="I185">
        <v>23</v>
      </c>
      <c r="J185">
        <v>2.6</v>
      </c>
      <c r="K185">
        <v>4</v>
      </c>
      <c r="L185">
        <v>2.7</v>
      </c>
      <c r="M185">
        <v>4</v>
      </c>
      <c r="N185">
        <v>3</v>
      </c>
      <c r="O185">
        <v>4</v>
      </c>
      <c r="P185">
        <v>3</v>
      </c>
    </row>
    <row r="186" spans="1:16" x14ac:dyDescent="0.3">
      <c r="A186">
        <v>184</v>
      </c>
      <c r="B186" t="s">
        <v>345</v>
      </c>
      <c r="C186" t="s">
        <v>22</v>
      </c>
      <c r="D186" t="s">
        <v>65</v>
      </c>
      <c r="E186">
        <v>34.049999999999997</v>
      </c>
      <c r="F186">
        <v>-118.24</v>
      </c>
      <c r="G186" t="s">
        <v>19</v>
      </c>
      <c r="H186" t="s">
        <v>20</v>
      </c>
      <c r="I186">
        <v>21</v>
      </c>
      <c r="J186">
        <v>3.8</v>
      </c>
      <c r="K186">
        <v>3.9</v>
      </c>
      <c r="L186">
        <v>3.3</v>
      </c>
      <c r="M186">
        <v>5</v>
      </c>
      <c r="N186">
        <v>3</v>
      </c>
      <c r="O186">
        <v>5</v>
      </c>
      <c r="P186">
        <v>5</v>
      </c>
    </row>
    <row r="187" spans="1:16" x14ac:dyDescent="0.3">
      <c r="A187">
        <v>185</v>
      </c>
      <c r="B187" t="s">
        <v>346</v>
      </c>
      <c r="C187" t="s">
        <v>203</v>
      </c>
      <c r="D187" t="s">
        <v>347</v>
      </c>
      <c r="E187">
        <v>6.25</v>
      </c>
      <c r="F187">
        <v>-75.56</v>
      </c>
      <c r="G187" t="s">
        <v>24</v>
      </c>
      <c r="H187" t="s">
        <v>20</v>
      </c>
      <c r="I187">
        <v>22</v>
      </c>
      <c r="J187">
        <v>3.7</v>
      </c>
      <c r="K187">
        <v>3.3</v>
      </c>
      <c r="L187">
        <v>2.2000000000000002</v>
      </c>
      <c r="M187">
        <v>4</v>
      </c>
      <c r="N187">
        <v>4</v>
      </c>
      <c r="O187">
        <v>4</v>
      </c>
      <c r="P187">
        <v>5</v>
      </c>
    </row>
    <row r="188" spans="1:16" x14ac:dyDescent="0.3">
      <c r="A188">
        <v>186</v>
      </c>
      <c r="B188" t="s">
        <v>348</v>
      </c>
      <c r="C188" t="s">
        <v>22</v>
      </c>
      <c r="D188" t="s">
        <v>349</v>
      </c>
      <c r="E188">
        <v>42.25</v>
      </c>
      <c r="F188">
        <v>-71</v>
      </c>
      <c r="G188" t="s">
        <v>19</v>
      </c>
      <c r="H188" t="s">
        <v>20</v>
      </c>
      <c r="I188">
        <v>22</v>
      </c>
      <c r="J188">
        <v>2.1</v>
      </c>
      <c r="K188">
        <v>3.1</v>
      </c>
      <c r="L188">
        <v>4</v>
      </c>
      <c r="M188">
        <v>5</v>
      </c>
      <c r="N188">
        <v>5</v>
      </c>
      <c r="O188">
        <v>4</v>
      </c>
      <c r="P188">
        <v>5</v>
      </c>
    </row>
    <row r="189" spans="1:16" x14ac:dyDescent="0.3">
      <c r="A189">
        <v>187</v>
      </c>
      <c r="B189" t="s">
        <v>350</v>
      </c>
      <c r="C189" t="s">
        <v>351</v>
      </c>
      <c r="D189" t="s">
        <v>352</v>
      </c>
      <c r="E189">
        <v>34.01</v>
      </c>
      <c r="F189">
        <v>-6.84</v>
      </c>
      <c r="G189" t="s">
        <v>19</v>
      </c>
      <c r="H189" t="s">
        <v>20</v>
      </c>
      <c r="I189">
        <v>21</v>
      </c>
      <c r="J189">
        <v>2.4</v>
      </c>
      <c r="K189">
        <v>3.6</v>
      </c>
      <c r="L189">
        <v>3.8</v>
      </c>
      <c r="M189">
        <v>3</v>
      </c>
      <c r="N189">
        <v>3</v>
      </c>
      <c r="O189">
        <v>5</v>
      </c>
      <c r="P189">
        <v>3</v>
      </c>
    </row>
    <row r="190" spans="1:16" x14ac:dyDescent="0.3">
      <c r="A190">
        <v>188</v>
      </c>
      <c r="B190" t="s">
        <v>353</v>
      </c>
      <c r="C190" t="s">
        <v>57</v>
      </c>
      <c r="D190" t="s">
        <v>57</v>
      </c>
      <c r="E190">
        <v>19.43</v>
      </c>
      <c r="F190">
        <v>-99.14</v>
      </c>
      <c r="G190" t="s">
        <v>19</v>
      </c>
      <c r="H190" t="s">
        <v>20</v>
      </c>
      <c r="I190">
        <v>22</v>
      </c>
      <c r="J190">
        <v>3.8</v>
      </c>
      <c r="K190">
        <v>3.9</v>
      </c>
      <c r="L190">
        <v>3.7</v>
      </c>
      <c r="M190">
        <v>4</v>
      </c>
      <c r="N190">
        <v>3</v>
      </c>
      <c r="O190">
        <v>5</v>
      </c>
      <c r="P190">
        <v>4</v>
      </c>
    </row>
    <row r="191" spans="1:16" x14ac:dyDescent="0.3">
      <c r="A191">
        <v>189</v>
      </c>
      <c r="B191" t="s">
        <v>354</v>
      </c>
      <c r="C191" t="s">
        <v>17</v>
      </c>
      <c r="D191" t="s">
        <v>355</v>
      </c>
      <c r="E191">
        <v>37.729999999999997</v>
      </c>
      <c r="F191">
        <v>115.7</v>
      </c>
      <c r="G191" t="s">
        <v>19</v>
      </c>
      <c r="H191" t="s">
        <v>20</v>
      </c>
      <c r="I191">
        <v>22</v>
      </c>
      <c r="J191">
        <v>2.8</v>
      </c>
      <c r="K191">
        <v>3.9</v>
      </c>
      <c r="L191">
        <v>3.8</v>
      </c>
      <c r="M191">
        <v>2</v>
      </c>
      <c r="N191">
        <v>4</v>
      </c>
      <c r="O191">
        <v>4</v>
      </c>
      <c r="P191">
        <v>4</v>
      </c>
    </row>
    <row r="192" spans="1:16" x14ac:dyDescent="0.3">
      <c r="A192">
        <v>190</v>
      </c>
      <c r="B192" t="s">
        <v>356</v>
      </c>
      <c r="C192" t="s">
        <v>357</v>
      </c>
      <c r="D192" t="s">
        <v>358</v>
      </c>
      <c r="E192">
        <v>50.87</v>
      </c>
      <c r="F192">
        <v>6.07</v>
      </c>
      <c r="G192" t="s">
        <v>19</v>
      </c>
      <c r="H192" t="s">
        <v>20</v>
      </c>
      <c r="I192">
        <v>21</v>
      </c>
      <c r="J192">
        <v>2.5</v>
      </c>
      <c r="K192">
        <v>3.5</v>
      </c>
      <c r="L192">
        <v>3.7</v>
      </c>
      <c r="M192">
        <v>4</v>
      </c>
      <c r="N192">
        <v>2</v>
      </c>
      <c r="O192">
        <v>4</v>
      </c>
      <c r="P192">
        <v>4</v>
      </c>
    </row>
    <row r="193" spans="1:16" x14ac:dyDescent="0.3">
      <c r="A193">
        <v>191</v>
      </c>
      <c r="B193" t="s">
        <v>359</v>
      </c>
      <c r="C193" t="s">
        <v>57</v>
      </c>
      <c r="D193" t="s">
        <v>57</v>
      </c>
      <c r="E193">
        <v>19.43</v>
      </c>
      <c r="F193">
        <v>-99.14</v>
      </c>
      <c r="G193" t="s">
        <v>24</v>
      </c>
      <c r="H193" t="s">
        <v>20</v>
      </c>
      <c r="I193">
        <v>23</v>
      </c>
      <c r="J193">
        <v>2.7</v>
      </c>
      <c r="K193">
        <v>2.6</v>
      </c>
      <c r="L193">
        <v>3.6</v>
      </c>
      <c r="M193">
        <v>5</v>
      </c>
      <c r="N193">
        <v>4</v>
      </c>
      <c r="O193">
        <v>5</v>
      </c>
      <c r="P193">
        <v>5</v>
      </c>
    </row>
    <row r="194" spans="1:16" x14ac:dyDescent="0.3">
      <c r="A194">
        <v>192</v>
      </c>
      <c r="B194" t="s">
        <v>360</v>
      </c>
      <c r="C194" t="s">
        <v>22</v>
      </c>
      <c r="D194" t="s">
        <v>65</v>
      </c>
      <c r="E194">
        <v>34.049999999999997</v>
      </c>
      <c r="F194">
        <v>-118.24</v>
      </c>
      <c r="G194" t="s">
        <v>24</v>
      </c>
      <c r="H194" t="s">
        <v>20</v>
      </c>
      <c r="I194">
        <v>21</v>
      </c>
      <c r="J194">
        <v>3.9</v>
      </c>
      <c r="K194">
        <v>3.9</v>
      </c>
      <c r="L194">
        <v>3.1</v>
      </c>
      <c r="M194">
        <v>5</v>
      </c>
      <c r="N194">
        <v>5</v>
      </c>
      <c r="O194">
        <v>3</v>
      </c>
      <c r="P194">
        <v>4</v>
      </c>
    </row>
    <row r="195" spans="1:16" x14ac:dyDescent="0.3">
      <c r="A195">
        <v>193</v>
      </c>
      <c r="B195" t="s">
        <v>361</v>
      </c>
      <c r="C195" t="s">
        <v>22</v>
      </c>
      <c r="D195" t="s">
        <v>109</v>
      </c>
      <c r="E195">
        <v>40.71</v>
      </c>
      <c r="F195">
        <v>-74.010000000000005</v>
      </c>
      <c r="G195" t="s">
        <v>19</v>
      </c>
      <c r="H195" t="s">
        <v>20</v>
      </c>
      <c r="I195">
        <v>21</v>
      </c>
      <c r="J195">
        <v>3.5</v>
      </c>
      <c r="K195">
        <v>3.3</v>
      </c>
      <c r="L195">
        <v>3.6</v>
      </c>
      <c r="M195">
        <v>5</v>
      </c>
      <c r="N195">
        <v>5</v>
      </c>
      <c r="O195">
        <v>4</v>
      </c>
      <c r="P195">
        <v>5</v>
      </c>
    </row>
    <row r="196" spans="1:16" x14ac:dyDescent="0.3">
      <c r="A196">
        <v>194</v>
      </c>
      <c r="B196" t="s">
        <v>362</v>
      </c>
      <c r="C196" t="s">
        <v>17</v>
      </c>
      <c r="D196" t="s">
        <v>363</v>
      </c>
      <c r="E196">
        <v>47.34</v>
      </c>
      <c r="F196">
        <v>123.97</v>
      </c>
      <c r="G196" t="s">
        <v>24</v>
      </c>
      <c r="H196" t="s">
        <v>20</v>
      </c>
      <c r="I196">
        <v>23</v>
      </c>
      <c r="J196">
        <v>3</v>
      </c>
      <c r="K196">
        <v>3.6</v>
      </c>
      <c r="L196">
        <v>1.4</v>
      </c>
      <c r="M196">
        <v>4</v>
      </c>
      <c r="N196">
        <v>5</v>
      </c>
      <c r="O196">
        <v>3</v>
      </c>
      <c r="P196">
        <v>4</v>
      </c>
    </row>
    <row r="197" spans="1:16" x14ac:dyDescent="0.3">
      <c r="A197">
        <v>195</v>
      </c>
      <c r="B197" t="s">
        <v>364</v>
      </c>
      <c r="C197" t="s">
        <v>22</v>
      </c>
      <c r="D197" t="s">
        <v>150</v>
      </c>
      <c r="E197">
        <v>37.340000000000003</v>
      </c>
      <c r="F197">
        <v>-121.89</v>
      </c>
      <c r="G197" t="s">
        <v>24</v>
      </c>
      <c r="H197" t="s">
        <v>20</v>
      </c>
      <c r="I197">
        <v>24</v>
      </c>
      <c r="J197">
        <v>4</v>
      </c>
      <c r="K197">
        <v>3.8</v>
      </c>
      <c r="L197">
        <v>3.7</v>
      </c>
      <c r="M197">
        <v>5</v>
      </c>
      <c r="N197">
        <v>5</v>
      </c>
      <c r="O197">
        <v>4</v>
      </c>
      <c r="P197">
        <v>5</v>
      </c>
    </row>
    <row r="198" spans="1:16" x14ac:dyDescent="0.3">
      <c r="A198">
        <v>196</v>
      </c>
      <c r="B198" t="s">
        <v>365</v>
      </c>
      <c r="C198" t="s">
        <v>22</v>
      </c>
      <c r="D198" t="s">
        <v>366</v>
      </c>
      <c r="E198">
        <v>32.22</v>
      </c>
      <c r="F198">
        <v>-110.93</v>
      </c>
      <c r="G198" t="s">
        <v>24</v>
      </c>
      <c r="H198" t="s">
        <v>20</v>
      </c>
      <c r="I198">
        <v>20</v>
      </c>
      <c r="J198">
        <v>3.3</v>
      </c>
      <c r="K198">
        <v>3.8</v>
      </c>
      <c r="L198">
        <v>3.5</v>
      </c>
      <c r="M198">
        <v>5</v>
      </c>
      <c r="N198">
        <v>5</v>
      </c>
      <c r="O198">
        <v>4</v>
      </c>
      <c r="P198">
        <v>4</v>
      </c>
    </row>
    <row r="199" spans="1:16" x14ac:dyDescent="0.3">
      <c r="A199">
        <v>197</v>
      </c>
      <c r="B199" t="s">
        <v>367</v>
      </c>
      <c r="C199" t="s">
        <v>22</v>
      </c>
      <c r="D199" t="s">
        <v>109</v>
      </c>
      <c r="E199">
        <v>40.71</v>
      </c>
      <c r="F199">
        <v>-74.010000000000005</v>
      </c>
      <c r="G199" t="s">
        <v>24</v>
      </c>
      <c r="H199" t="s">
        <v>20</v>
      </c>
      <c r="I199">
        <v>22</v>
      </c>
      <c r="J199">
        <v>4</v>
      </c>
      <c r="K199">
        <v>3.6</v>
      </c>
      <c r="L199">
        <v>3.4</v>
      </c>
      <c r="M199">
        <v>5</v>
      </c>
      <c r="N199">
        <v>4</v>
      </c>
      <c r="O199">
        <v>4</v>
      </c>
      <c r="P199">
        <v>5</v>
      </c>
    </row>
    <row r="200" spans="1:16" x14ac:dyDescent="0.3">
      <c r="A200">
        <v>198</v>
      </c>
      <c r="B200" t="s">
        <v>368</v>
      </c>
      <c r="C200" t="s">
        <v>102</v>
      </c>
      <c r="D200" t="s">
        <v>326</v>
      </c>
      <c r="E200">
        <v>12.98</v>
      </c>
      <c r="F200">
        <v>77.58</v>
      </c>
      <c r="G200" t="s">
        <v>19</v>
      </c>
      <c r="H200" t="s">
        <v>20</v>
      </c>
      <c r="I200">
        <v>22</v>
      </c>
      <c r="J200">
        <v>3.7</v>
      </c>
      <c r="K200">
        <v>2.7</v>
      </c>
      <c r="L200">
        <v>3</v>
      </c>
      <c r="M200">
        <v>3</v>
      </c>
      <c r="N200">
        <v>5</v>
      </c>
      <c r="O200">
        <v>3</v>
      </c>
      <c r="P200">
        <v>5</v>
      </c>
    </row>
    <row r="201" spans="1:16" x14ac:dyDescent="0.3">
      <c r="A201">
        <v>199</v>
      </c>
      <c r="B201" t="s">
        <v>369</v>
      </c>
      <c r="C201" t="s">
        <v>22</v>
      </c>
      <c r="D201" t="s">
        <v>142</v>
      </c>
      <c r="E201">
        <v>32.72</v>
      </c>
      <c r="F201">
        <v>-117.16</v>
      </c>
      <c r="G201" t="s">
        <v>24</v>
      </c>
      <c r="H201" t="s">
        <v>20</v>
      </c>
      <c r="I201">
        <v>22</v>
      </c>
      <c r="J201">
        <v>3.8</v>
      </c>
      <c r="K201">
        <v>3.3</v>
      </c>
      <c r="L201">
        <v>3.3</v>
      </c>
      <c r="M201">
        <v>5</v>
      </c>
      <c r="N201">
        <v>5</v>
      </c>
      <c r="O201">
        <v>4</v>
      </c>
      <c r="P201">
        <v>5</v>
      </c>
    </row>
    <row r="202" spans="1:16" x14ac:dyDescent="0.3">
      <c r="A202">
        <v>200</v>
      </c>
      <c r="B202" t="s">
        <v>370</v>
      </c>
      <c r="C202" t="s">
        <v>62</v>
      </c>
      <c r="D202" t="s">
        <v>63</v>
      </c>
      <c r="E202">
        <v>35.69</v>
      </c>
      <c r="F202">
        <v>139.75</v>
      </c>
      <c r="G202" t="s">
        <v>19</v>
      </c>
      <c r="H202" t="s">
        <v>20</v>
      </c>
      <c r="I202">
        <v>25</v>
      </c>
      <c r="J202">
        <v>3.4</v>
      </c>
      <c r="K202">
        <v>3.2</v>
      </c>
      <c r="L202">
        <v>2.9</v>
      </c>
      <c r="M202">
        <v>4</v>
      </c>
      <c r="N202">
        <v>4</v>
      </c>
      <c r="O202">
        <v>3</v>
      </c>
      <c r="P202">
        <v>5</v>
      </c>
    </row>
    <row r="203" spans="1:16" x14ac:dyDescent="0.3">
      <c r="A203">
        <v>201</v>
      </c>
      <c r="B203" t="s">
        <v>371</v>
      </c>
      <c r="C203" t="s">
        <v>22</v>
      </c>
      <c r="D203" t="s">
        <v>219</v>
      </c>
      <c r="E203">
        <v>33.75</v>
      </c>
      <c r="F203">
        <v>-117.87</v>
      </c>
      <c r="G203" t="s">
        <v>24</v>
      </c>
      <c r="H203" t="s">
        <v>20</v>
      </c>
      <c r="I203">
        <v>24</v>
      </c>
      <c r="J203">
        <v>4</v>
      </c>
      <c r="K203">
        <v>3.2</v>
      </c>
      <c r="L203">
        <v>3.8</v>
      </c>
      <c r="M203">
        <v>5</v>
      </c>
      <c r="N203">
        <v>5</v>
      </c>
      <c r="O203">
        <v>3</v>
      </c>
      <c r="P203">
        <v>4</v>
      </c>
    </row>
    <row r="204" spans="1:16" x14ac:dyDescent="0.3">
      <c r="A204">
        <v>202</v>
      </c>
      <c r="B204" t="s">
        <v>372</v>
      </c>
      <c r="C204" t="s">
        <v>22</v>
      </c>
      <c r="D204" t="s">
        <v>52</v>
      </c>
      <c r="E204">
        <v>41.85</v>
      </c>
      <c r="F204">
        <v>-87.65</v>
      </c>
      <c r="G204" t="s">
        <v>24</v>
      </c>
      <c r="H204" t="s">
        <v>20</v>
      </c>
      <c r="I204">
        <v>21</v>
      </c>
      <c r="J204">
        <v>3.2</v>
      </c>
      <c r="K204">
        <v>4</v>
      </c>
      <c r="L204">
        <v>3.5</v>
      </c>
      <c r="M204">
        <v>5</v>
      </c>
      <c r="N204">
        <v>4</v>
      </c>
      <c r="O204">
        <v>3</v>
      </c>
      <c r="P204">
        <v>4</v>
      </c>
    </row>
    <row r="205" spans="1:16" x14ac:dyDescent="0.3">
      <c r="A205">
        <v>203</v>
      </c>
      <c r="B205" t="s">
        <v>373</v>
      </c>
      <c r="C205" t="s">
        <v>32</v>
      </c>
      <c r="D205" t="s">
        <v>374</v>
      </c>
      <c r="E205">
        <v>-19.920000000000002</v>
      </c>
      <c r="F205">
        <v>-43.93</v>
      </c>
      <c r="G205" t="s">
        <v>24</v>
      </c>
      <c r="H205" t="s">
        <v>20</v>
      </c>
      <c r="I205">
        <v>21</v>
      </c>
      <c r="J205">
        <v>3.9</v>
      </c>
      <c r="K205">
        <v>3.7</v>
      </c>
      <c r="L205">
        <v>3.9</v>
      </c>
      <c r="M205">
        <v>3</v>
      </c>
      <c r="N205">
        <v>4</v>
      </c>
      <c r="O205">
        <v>5</v>
      </c>
      <c r="P205">
        <v>4</v>
      </c>
    </row>
    <row r="206" spans="1:16" x14ac:dyDescent="0.3">
      <c r="A206">
        <v>204</v>
      </c>
      <c r="B206" t="s">
        <v>375</v>
      </c>
      <c r="C206" t="s">
        <v>22</v>
      </c>
      <c r="D206" t="s">
        <v>219</v>
      </c>
      <c r="E206">
        <v>33.75</v>
      </c>
      <c r="F206">
        <v>-117.87</v>
      </c>
      <c r="G206" t="s">
        <v>24</v>
      </c>
      <c r="H206" t="s">
        <v>20</v>
      </c>
      <c r="I206">
        <v>23</v>
      </c>
      <c r="J206">
        <v>3.2</v>
      </c>
      <c r="K206">
        <v>3.6</v>
      </c>
      <c r="L206">
        <v>3.7</v>
      </c>
      <c r="M206">
        <v>5</v>
      </c>
      <c r="N206">
        <v>4</v>
      </c>
      <c r="O206">
        <v>5</v>
      </c>
      <c r="P206">
        <v>4</v>
      </c>
    </row>
    <row r="207" spans="1:16" x14ac:dyDescent="0.3">
      <c r="A207">
        <v>205</v>
      </c>
      <c r="B207" t="s">
        <v>376</v>
      </c>
      <c r="C207" t="s">
        <v>22</v>
      </c>
      <c r="D207" t="s">
        <v>377</v>
      </c>
      <c r="E207">
        <v>37.08</v>
      </c>
      <c r="F207">
        <v>-94.51</v>
      </c>
      <c r="G207" t="s">
        <v>19</v>
      </c>
      <c r="H207" t="s">
        <v>20</v>
      </c>
      <c r="I207">
        <v>23</v>
      </c>
      <c r="J207">
        <v>3.6</v>
      </c>
      <c r="K207">
        <v>3.7</v>
      </c>
      <c r="L207">
        <v>2.8</v>
      </c>
      <c r="M207">
        <v>5</v>
      </c>
      <c r="N207">
        <v>4</v>
      </c>
      <c r="O207">
        <v>4</v>
      </c>
      <c r="P207">
        <v>5</v>
      </c>
    </row>
    <row r="208" spans="1:16" x14ac:dyDescent="0.3">
      <c r="A208">
        <v>206</v>
      </c>
      <c r="B208" t="s">
        <v>378</v>
      </c>
      <c r="C208" t="s">
        <v>22</v>
      </c>
      <c r="D208" t="s">
        <v>65</v>
      </c>
      <c r="E208">
        <v>34.049999999999997</v>
      </c>
      <c r="F208">
        <v>-118.24</v>
      </c>
      <c r="G208" t="s">
        <v>19</v>
      </c>
      <c r="H208" t="s">
        <v>20</v>
      </c>
      <c r="I208">
        <v>23</v>
      </c>
      <c r="J208">
        <v>3.3</v>
      </c>
      <c r="K208">
        <v>2.7</v>
      </c>
      <c r="L208">
        <v>4</v>
      </c>
      <c r="M208">
        <v>5</v>
      </c>
      <c r="N208">
        <v>4</v>
      </c>
      <c r="O208">
        <v>5</v>
      </c>
      <c r="P208">
        <v>5</v>
      </c>
    </row>
    <row r="209" spans="1:16" x14ac:dyDescent="0.3">
      <c r="A209">
        <v>207</v>
      </c>
      <c r="B209" t="s">
        <v>379</v>
      </c>
      <c r="C209" t="s">
        <v>22</v>
      </c>
      <c r="D209" t="s">
        <v>380</v>
      </c>
      <c r="E209">
        <v>37.82</v>
      </c>
      <c r="F209">
        <v>-122</v>
      </c>
      <c r="G209" t="s">
        <v>24</v>
      </c>
      <c r="H209" t="s">
        <v>20</v>
      </c>
      <c r="I209">
        <v>21</v>
      </c>
      <c r="J209">
        <v>3.8</v>
      </c>
      <c r="K209">
        <v>3</v>
      </c>
      <c r="L209">
        <v>3.5</v>
      </c>
      <c r="M209">
        <v>5</v>
      </c>
      <c r="N209">
        <v>4</v>
      </c>
      <c r="O209">
        <v>2</v>
      </c>
      <c r="P209">
        <v>2</v>
      </c>
    </row>
    <row r="210" spans="1:16" x14ac:dyDescent="0.3">
      <c r="A210">
        <v>208</v>
      </c>
      <c r="B210" t="s">
        <v>381</v>
      </c>
      <c r="C210" t="s">
        <v>22</v>
      </c>
      <c r="D210" t="s">
        <v>109</v>
      </c>
      <c r="E210">
        <v>40.71</v>
      </c>
      <c r="F210">
        <v>-74.010000000000005</v>
      </c>
      <c r="G210" t="s">
        <v>24</v>
      </c>
      <c r="H210" t="s">
        <v>20</v>
      </c>
      <c r="I210">
        <v>23</v>
      </c>
      <c r="J210">
        <v>3.4</v>
      </c>
      <c r="K210">
        <v>3.8</v>
      </c>
      <c r="L210">
        <v>4</v>
      </c>
      <c r="M210">
        <v>5</v>
      </c>
      <c r="N210">
        <v>4</v>
      </c>
      <c r="O210">
        <v>3</v>
      </c>
      <c r="P210">
        <v>3</v>
      </c>
    </row>
    <row r="211" spans="1:16" x14ac:dyDescent="0.3">
      <c r="A211">
        <v>209</v>
      </c>
      <c r="B211" t="s">
        <v>382</v>
      </c>
      <c r="C211" t="s">
        <v>22</v>
      </c>
      <c r="D211" t="s">
        <v>157</v>
      </c>
      <c r="E211">
        <v>37.96</v>
      </c>
      <c r="F211">
        <v>-121.29</v>
      </c>
      <c r="G211" t="s">
        <v>19</v>
      </c>
      <c r="H211" t="s">
        <v>20</v>
      </c>
      <c r="I211">
        <v>22</v>
      </c>
      <c r="J211">
        <v>3.4</v>
      </c>
      <c r="K211">
        <v>2.8</v>
      </c>
      <c r="L211">
        <v>3.1</v>
      </c>
      <c r="M211">
        <v>5</v>
      </c>
      <c r="N211">
        <v>5</v>
      </c>
      <c r="O211">
        <v>5</v>
      </c>
      <c r="P211">
        <v>4</v>
      </c>
    </row>
    <row r="212" spans="1:16" x14ac:dyDescent="0.3">
      <c r="A212">
        <v>210</v>
      </c>
      <c r="B212" t="s">
        <v>383</v>
      </c>
      <c r="C212" t="s">
        <v>57</v>
      </c>
      <c r="D212" t="s">
        <v>57</v>
      </c>
      <c r="E212">
        <v>19.43</v>
      </c>
      <c r="F212">
        <v>-99.14</v>
      </c>
      <c r="G212" t="s">
        <v>24</v>
      </c>
      <c r="H212" t="s">
        <v>20</v>
      </c>
      <c r="I212">
        <v>24</v>
      </c>
      <c r="J212">
        <v>3.7</v>
      </c>
      <c r="K212">
        <v>3.7</v>
      </c>
      <c r="L212">
        <v>3.7</v>
      </c>
      <c r="M212">
        <v>4</v>
      </c>
      <c r="N212">
        <v>4</v>
      </c>
      <c r="O212">
        <v>5</v>
      </c>
      <c r="P212">
        <v>5</v>
      </c>
    </row>
    <row r="213" spans="1:16" x14ac:dyDescent="0.3">
      <c r="A213">
        <v>211</v>
      </c>
      <c r="B213" t="s">
        <v>384</v>
      </c>
      <c r="C213" t="s">
        <v>385</v>
      </c>
      <c r="D213" t="s">
        <v>386</v>
      </c>
      <c r="E213">
        <v>-33.450000000000003</v>
      </c>
      <c r="F213">
        <v>-70.67</v>
      </c>
      <c r="G213" t="s">
        <v>24</v>
      </c>
      <c r="H213" t="s">
        <v>20</v>
      </c>
      <c r="I213">
        <v>21</v>
      </c>
      <c r="J213">
        <v>3.7</v>
      </c>
      <c r="K213">
        <v>3.7</v>
      </c>
      <c r="L213">
        <v>4</v>
      </c>
      <c r="M213">
        <v>3</v>
      </c>
      <c r="N213">
        <v>4</v>
      </c>
      <c r="O213">
        <v>3</v>
      </c>
      <c r="P213">
        <v>5</v>
      </c>
    </row>
    <row r="214" spans="1:16" x14ac:dyDescent="0.3">
      <c r="A214">
        <v>212</v>
      </c>
      <c r="B214" t="s">
        <v>387</v>
      </c>
      <c r="C214" t="s">
        <v>22</v>
      </c>
      <c r="D214" t="s">
        <v>388</v>
      </c>
      <c r="E214">
        <v>43.15</v>
      </c>
      <c r="F214">
        <v>-77.62</v>
      </c>
      <c r="G214" t="s">
        <v>19</v>
      </c>
      <c r="H214" t="s">
        <v>20</v>
      </c>
      <c r="I214">
        <v>22</v>
      </c>
      <c r="J214">
        <v>3.2</v>
      </c>
      <c r="K214">
        <v>3.7</v>
      </c>
      <c r="L214">
        <v>3.2</v>
      </c>
      <c r="M214">
        <v>5</v>
      </c>
      <c r="N214">
        <v>4</v>
      </c>
      <c r="O214">
        <v>3</v>
      </c>
      <c r="P214">
        <v>5</v>
      </c>
    </row>
    <row r="215" spans="1:16" x14ac:dyDescent="0.3">
      <c r="A215">
        <v>213</v>
      </c>
      <c r="B215" t="s">
        <v>389</v>
      </c>
      <c r="C215" t="s">
        <v>160</v>
      </c>
      <c r="D215" t="s">
        <v>161</v>
      </c>
      <c r="E215">
        <v>37.6</v>
      </c>
      <c r="F215">
        <v>126.98</v>
      </c>
      <c r="G215" t="s">
        <v>24</v>
      </c>
      <c r="H215" t="s">
        <v>20</v>
      </c>
      <c r="I215">
        <v>21</v>
      </c>
      <c r="J215">
        <v>3.1</v>
      </c>
      <c r="K215">
        <v>3.5</v>
      </c>
      <c r="L215">
        <v>3.6</v>
      </c>
      <c r="M215">
        <v>3</v>
      </c>
      <c r="N215">
        <v>4</v>
      </c>
      <c r="O215">
        <v>4</v>
      </c>
      <c r="P215">
        <v>3</v>
      </c>
    </row>
    <row r="216" spans="1:16" x14ac:dyDescent="0.3">
      <c r="A216">
        <v>214</v>
      </c>
      <c r="B216" t="s">
        <v>390</v>
      </c>
      <c r="C216" t="s">
        <v>17</v>
      </c>
      <c r="D216" t="s">
        <v>391</v>
      </c>
      <c r="E216">
        <v>36.57</v>
      </c>
      <c r="F216">
        <v>114.53</v>
      </c>
      <c r="G216" t="s">
        <v>24</v>
      </c>
      <c r="H216" t="s">
        <v>20</v>
      </c>
      <c r="I216">
        <v>21</v>
      </c>
      <c r="J216">
        <v>2.6</v>
      </c>
      <c r="K216">
        <v>3.9</v>
      </c>
      <c r="L216">
        <v>3.4</v>
      </c>
      <c r="M216">
        <v>4</v>
      </c>
      <c r="N216">
        <v>5</v>
      </c>
      <c r="O216">
        <v>5</v>
      </c>
      <c r="P216">
        <v>5</v>
      </c>
    </row>
    <row r="217" spans="1:16" x14ac:dyDescent="0.3">
      <c r="A217">
        <v>215</v>
      </c>
      <c r="B217" t="s">
        <v>392</v>
      </c>
      <c r="C217" t="s">
        <v>102</v>
      </c>
      <c r="D217" t="s">
        <v>393</v>
      </c>
      <c r="E217">
        <v>19.2</v>
      </c>
      <c r="F217">
        <v>72.97</v>
      </c>
      <c r="G217" t="s">
        <v>24</v>
      </c>
      <c r="H217" t="s">
        <v>20</v>
      </c>
      <c r="I217">
        <v>22</v>
      </c>
      <c r="J217">
        <v>2.6</v>
      </c>
      <c r="K217">
        <v>3.3</v>
      </c>
      <c r="L217">
        <v>4</v>
      </c>
      <c r="M217">
        <v>3</v>
      </c>
      <c r="N217">
        <v>5</v>
      </c>
      <c r="O217">
        <v>4</v>
      </c>
      <c r="P217">
        <v>4</v>
      </c>
    </row>
    <row r="218" spans="1:16" x14ac:dyDescent="0.3">
      <c r="A218">
        <v>216</v>
      </c>
      <c r="B218" t="s">
        <v>394</v>
      </c>
      <c r="C218" t="s">
        <v>22</v>
      </c>
      <c r="D218" t="s">
        <v>395</v>
      </c>
      <c r="E218">
        <v>37.770000000000003</v>
      </c>
      <c r="F218">
        <v>-122.42</v>
      </c>
      <c r="G218" t="s">
        <v>19</v>
      </c>
      <c r="H218" t="s">
        <v>20</v>
      </c>
      <c r="I218">
        <v>22</v>
      </c>
      <c r="J218">
        <v>3</v>
      </c>
      <c r="K218">
        <v>2.7</v>
      </c>
      <c r="L218">
        <v>2</v>
      </c>
      <c r="M218">
        <v>5</v>
      </c>
      <c r="N218">
        <v>3</v>
      </c>
      <c r="O218">
        <v>4</v>
      </c>
      <c r="P218">
        <v>4</v>
      </c>
    </row>
    <row r="219" spans="1:16" x14ac:dyDescent="0.3">
      <c r="A219">
        <v>217</v>
      </c>
      <c r="B219" t="s">
        <v>396</v>
      </c>
      <c r="C219" t="s">
        <v>115</v>
      </c>
      <c r="D219" t="s">
        <v>397</v>
      </c>
      <c r="E219">
        <v>55.15</v>
      </c>
      <c r="F219">
        <v>61.43</v>
      </c>
      <c r="G219" t="s">
        <v>19</v>
      </c>
      <c r="H219" t="s">
        <v>20</v>
      </c>
      <c r="I219">
        <v>21</v>
      </c>
      <c r="J219">
        <v>2</v>
      </c>
      <c r="K219">
        <v>3.5</v>
      </c>
      <c r="L219">
        <v>2.2000000000000002</v>
      </c>
      <c r="M219">
        <v>4</v>
      </c>
      <c r="N219">
        <v>4</v>
      </c>
      <c r="O219">
        <v>5</v>
      </c>
      <c r="P219">
        <v>4</v>
      </c>
    </row>
    <row r="220" spans="1:16" x14ac:dyDescent="0.3">
      <c r="A220">
        <v>218</v>
      </c>
      <c r="B220" t="s">
        <v>398</v>
      </c>
      <c r="C220" t="s">
        <v>17</v>
      </c>
      <c r="D220" t="s">
        <v>399</v>
      </c>
      <c r="E220">
        <v>29.56</v>
      </c>
      <c r="F220">
        <v>106.55</v>
      </c>
      <c r="G220" t="s">
        <v>19</v>
      </c>
      <c r="H220" t="s">
        <v>20</v>
      </c>
      <c r="I220">
        <v>24</v>
      </c>
      <c r="J220">
        <v>3.9</v>
      </c>
      <c r="K220">
        <v>3.3</v>
      </c>
      <c r="L220">
        <v>3</v>
      </c>
      <c r="M220">
        <v>2</v>
      </c>
      <c r="N220">
        <v>3</v>
      </c>
      <c r="O220">
        <v>5</v>
      </c>
      <c r="P220">
        <v>5</v>
      </c>
    </row>
    <row r="221" spans="1:16" x14ac:dyDescent="0.3">
      <c r="A221">
        <v>219</v>
      </c>
      <c r="B221" t="s">
        <v>400</v>
      </c>
      <c r="C221" t="s">
        <v>22</v>
      </c>
      <c r="D221" t="s">
        <v>401</v>
      </c>
      <c r="E221">
        <v>42.77</v>
      </c>
      <c r="F221">
        <v>-73.7</v>
      </c>
      <c r="G221" t="s">
        <v>24</v>
      </c>
      <c r="H221" t="s">
        <v>20</v>
      </c>
      <c r="I221">
        <v>22</v>
      </c>
      <c r="J221">
        <v>3.6</v>
      </c>
      <c r="K221">
        <v>3.4</v>
      </c>
      <c r="L221">
        <v>4</v>
      </c>
      <c r="M221">
        <v>5</v>
      </c>
      <c r="N221">
        <v>4</v>
      </c>
      <c r="O221">
        <v>3</v>
      </c>
      <c r="P221">
        <v>5</v>
      </c>
    </row>
    <row r="222" spans="1:16" x14ac:dyDescent="0.3">
      <c r="A222">
        <v>220</v>
      </c>
      <c r="B222" t="s">
        <v>402</v>
      </c>
      <c r="C222" t="s">
        <v>22</v>
      </c>
      <c r="D222" t="s">
        <v>94</v>
      </c>
      <c r="E222">
        <v>38.58</v>
      </c>
      <c r="F222">
        <v>-121.49</v>
      </c>
      <c r="G222" t="s">
        <v>24</v>
      </c>
      <c r="H222" t="s">
        <v>20</v>
      </c>
      <c r="I222">
        <v>24</v>
      </c>
      <c r="J222">
        <v>3.6</v>
      </c>
      <c r="K222">
        <v>3.9</v>
      </c>
      <c r="L222">
        <v>3.3</v>
      </c>
      <c r="M222">
        <v>5</v>
      </c>
      <c r="N222">
        <v>5</v>
      </c>
      <c r="O222">
        <v>5</v>
      </c>
      <c r="P222">
        <v>5</v>
      </c>
    </row>
    <row r="223" spans="1:16" x14ac:dyDescent="0.3">
      <c r="A223">
        <v>221</v>
      </c>
      <c r="B223" t="s">
        <v>403</v>
      </c>
      <c r="C223" t="s">
        <v>22</v>
      </c>
      <c r="D223" t="s">
        <v>404</v>
      </c>
      <c r="E223">
        <v>38.44</v>
      </c>
      <c r="F223">
        <v>-122.71</v>
      </c>
      <c r="G223" t="s">
        <v>24</v>
      </c>
      <c r="H223" t="s">
        <v>20</v>
      </c>
      <c r="I223">
        <v>21</v>
      </c>
      <c r="J223">
        <v>3.4</v>
      </c>
      <c r="K223">
        <v>2.4</v>
      </c>
      <c r="L223">
        <v>4</v>
      </c>
      <c r="M223">
        <v>5</v>
      </c>
      <c r="N223">
        <v>2</v>
      </c>
      <c r="O223">
        <v>4</v>
      </c>
      <c r="P223">
        <v>4</v>
      </c>
    </row>
    <row r="224" spans="1:16" x14ac:dyDescent="0.3">
      <c r="A224">
        <v>222</v>
      </c>
      <c r="B224" t="s">
        <v>405</v>
      </c>
      <c r="C224" t="s">
        <v>22</v>
      </c>
      <c r="D224" t="s">
        <v>406</v>
      </c>
      <c r="E224">
        <v>39.53</v>
      </c>
      <c r="F224">
        <v>-119.81</v>
      </c>
      <c r="G224" t="s">
        <v>24</v>
      </c>
      <c r="H224" t="s">
        <v>20</v>
      </c>
      <c r="I224">
        <v>22</v>
      </c>
      <c r="J224">
        <v>2.4</v>
      </c>
      <c r="K224">
        <v>3.9</v>
      </c>
      <c r="L224">
        <v>3.7</v>
      </c>
      <c r="M224">
        <v>5</v>
      </c>
      <c r="N224">
        <v>4</v>
      </c>
      <c r="O224">
        <v>4</v>
      </c>
      <c r="P224">
        <v>5</v>
      </c>
    </row>
    <row r="225" spans="1:16" x14ac:dyDescent="0.3">
      <c r="A225">
        <v>223</v>
      </c>
      <c r="B225" t="s">
        <v>407</v>
      </c>
      <c r="C225" t="s">
        <v>22</v>
      </c>
      <c r="D225" t="s">
        <v>142</v>
      </c>
      <c r="E225">
        <v>32.72</v>
      </c>
      <c r="F225">
        <v>-117.16</v>
      </c>
      <c r="G225" t="s">
        <v>67</v>
      </c>
      <c r="H225" t="s">
        <v>20</v>
      </c>
      <c r="I225">
        <v>20</v>
      </c>
      <c r="J225">
        <v>2.8</v>
      </c>
      <c r="K225">
        <v>3.3</v>
      </c>
      <c r="L225">
        <v>4</v>
      </c>
      <c r="M225">
        <v>5</v>
      </c>
      <c r="N225">
        <v>4</v>
      </c>
      <c r="O225">
        <v>3</v>
      </c>
      <c r="P225">
        <v>2</v>
      </c>
    </row>
    <row r="226" spans="1:16" x14ac:dyDescent="0.3">
      <c r="A226">
        <v>224</v>
      </c>
      <c r="B226" t="s">
        <v>408</v>
      </c>
      <c r="C226" t="s">
        <v>22</v>
      </c>
      <c r="D226" t="s">
        <v>65</v>
      </c>
      <c r="E226">
        <v>34.049999999999997</v>
      </c>
      <c r="F226">
        <v>-118.24</v>
      </c>
      <c r="G226" t="s">
        <v>24</v>
      </c>
      <c r="H226" t="s">
        <v>20</v>
      </c>
      <c r="I226">
        <v>24</v>
      </c>
      <c r="J226">
        <v>3.1</v>
      </c>
      <c r="K226">
        <v>4</v>
      </c>
      <c r="L226">
        <v>3.9</v>
      </c>
      <c r="M226">
        <v>5</v>
      </c>
      <c r="N226">
        <v>4</v>
      </c>
      <c r="O226">
        <v>5</v>
      </c>
      <c r="P226">
        <v>3</v>
      </c>
    </row>
    <row r="227" spans="1:16" x14ac:dyDescent="0.3">
      <c r="A227">
        <v>225</v>
      </c>
      <c r="B227" t="s">
        <v>409</v>
      </c>
      <c r="C227" t="s">
        <v>22</v>
      </c>
      <c r="D227" t="s">
        <v>410</v>
      </c>
      <c r="E227">
        <v>41.8</v>
      </c>
      <c r="F227">
        <v>-87.94</v>
      </c>
      <c r="G227" t="s">
        <v>19</v>
      </c>
      <c r="H227" t="s">
        <v>20</v>
      </c>
      <c r="I227">
        <v>21</v>
      </c>
      <c r="J227">
        <v>3.5</v>
      </c>
      <c r="K227">
        <v>2.5</v>
      </c>
      <c r="L227">
        <v>3.7</v>
      </c>
      <c r="M227">
        <v>5</v>
      </c>
      <c r="N227">
        <v>4</v>
      </c>
      <c r="O227">
        <v>4</v>
      </c>
      <c r="P227">
        <v>4</v>
      </c>
    </row>
    <row r="228" spans="1:16" x14ac:dyDescent="0.3">
      <c r="A228">
        <v>226</v>
      </c>
      <c r="B228" t="s">
        <v>411</v>
      </c>
      <c r="C228" t="s">
        <v>32</v>
      </c>
      <c r="D228" t="s">
        <v>412</v>
      </c>
      <c r="E228">
        <v>-1.45</v>
      </c>
      <c r="F228">
        <v>-48.48</v>
      </c>
      <c r="G228" t="s">
        <v>19</v>
      </c>
      <c r="H228" t="s">
        <v>20</v>
      </c>
      <c r="I228">
        <v>24</v>
      </c>
      <c r="J228">
        <v>3.4</v>
      </c>
      <c r="K228">
        <v>3</v>
      </c>
      <c r="L228">
        <v>2.1</v>
      </c>
      <c r="M228">
        <v>4</v>
      </c>
      <c r="N228">
        <v>3</v>
      </c>
      <c r="O228">
        <v>3</v>
      </c>
      <c r="P228">
        <v>4</v>
      </c>
    </row>
    <row r="229" spans="1:16" x14ac:dyDescent="0.3">
      <c r="A229">
        <v>227</v>
      </c>
      <c r="B229" t="s">
        <v>413</v>
      </c>
      <c r="C229" t="s">
        <v>22</v>
      </c>
      <c r="D229" t="s">
        <v>395</v>
      </c>
      <c r="E229">
        <v>37.770000000000003</v>
      </c>
      <c r="F229">
        <v>-122.42</v>
      </c>
      <c r="G229" t="s">
        <v>19</v>
      </c>
      <c r="H229" t="s">
        <v>20</v>
      </c>
      <c r="I229">
        <v>21</v>
      </c>
      <c r="J229">
        <v>4</v>
      </c>
      <c r="K229">
        <v>3.5</v>
      </c>
      <c r="L229">
        <v>3.4</v>
      </c>
      <c r="M229">
        <v>5</v>
      </c>
      <c r="N229">
        <v>5</v>
      </c>
      <c r="O229">
        <v>4</v>
      </c>
      <c r="P229">
        <v>5</v>
      </c>
    </row>
    <row r="230" spans="1:16" x14ac:dyDescent="0.3">
      <c r="A230">
        <v>228</v>
      </c>
      <c r="B230" t="s">
        <v>414</v>
      </c>
      <c r="C230" t="s">
        <v>22</v>
      </c>
      <c r="D230" t="s">
        <v>415</v>
      </c>
      <c r="E230">
        <v>29.76</v>
      </c>
      <c r="F230">
        <v>-95.36</v>
      </c>
      <c r="G230" t="s">
        <v>19</v>
      </c>
      <c r="H230" t="s">
        <v>20</v>
      </c>
      <c r="I230">
        <v>22</v>
      </c>
      <c r="J230">
        <v>3.1</v>
      </c>
      <c r="K230">
        <v>3</v>
      </c>
      <c r="L230">
        <v>3.3</v>
      </c>
      <c r="M230">
        <v>5</v>
      </c>
      <c r="N230">
        <v>5</v>
      </c>
      <c r="O230">
        <v>5</v>
      </c>
      <c r="P230">
        <v>4</v>
      </c>
    </row>
    <row r="231" spans="1:16" x14ac:dyDescent="0.3">
      <c r="A231">
        <v>229</v>
      </c>
      <c r="B231" t="s">
        <v>416</v>
      </c>
      <c r="C231" t="s">
        <v>22</v>
      </c>
      <c r="D231" t="s">
        <v>65</v>
      </c>
      <c r="E231">
        <v>34.049999999999997</v>
      </c>
      <c r="F231">
        <v>-118.24</v>
      </c>
      <c r="G231" t="s">
        <v>19</v>
      </c>
      <c r="H231" t="s">
        <v>20</v>
      </c>
      <c r="I231">
        <v>19</v>
      </c>
      <c r="J231">
        <v>4</v>
      </c>
      <c r="K231">
        <v>2.4</v>
      </c>
      <c r="L231">
        <v>3.9</v>
      </c>
      <c r="M231">
        <v>5</v>
      </c>
      <c r="N231">
        <v>4</v>
      </c>
      <c r="O231">
        <v>5</v>
      </c>
      <c r="P231">
        <v>4</v>
      </c>
    </row>
    <row r="232" spans="1:16" x14ac:dyDescent="0.3">
      <c r="A232">
        <v>230</v>
      </c>
      <c r="B232" t="s">
        <v>417</v>
      </c>
      <c r="C232" t="s">
        <v>328</v>
      </c>
      <c r="D232" t="s">
        <v>329</v>
      </c>
      <c r="E232">
        <v>51.51</v>
      </c>
      <c r="F232">
        <v>-0.09</v>
      </c>
      <c r="G232" t="s">
        <v>19</v>
      </c>
      <c r="H232" t="s">
        <v>20</v>
      </c>
      <c r="I232">
        <v>22</v>
      </c>
      <c r="J232">
        <v>3.6</v>
      </c>
      <c r="K232">
        <v>2.6</v>
      </c>
      <c r="L232">
        <v>2.5</v>
      </c>
      <c r="M232">
        <v>5</v>
      </c>
      <c r="N232">
        <v>4</v>
      </c>
      <c r="O232">
        <v>4</v>
      </c>
      <c r="P232">
        <v>4</v>
      </c>
    </row>
    <row r="233" spans="1:16" x14ac:dyDescent="0.3">
      <c r="A233">
        <v>231</v>
      </c>
      <c r="B233" t="s">
        <v>418</v>
      </c>
      <c r="C233" t="s">
        <v>22</v>
      </c>
      <c r="D233" t="s">
        <v>171</v>
      </c>
      <c r="E233">
        <v>38.75</v>
      </c>
      <c r="F233">
        <v>-121.29</v>
      </c>
      <c r="G233" t="s">
        <v>19</v>
      </c>
      <c r="H233" t="s">
        <v>20</v>
      </c>
      <c r="I233">
        <v>22</v>
      </c>
      <c r="J233">
        <v>3.8</v>
      </c>
      <c r="K233">
        <v>3.9</v>
      </c>
      <c r="L233">
        <v>2.9</v>
      </c>
      <c r="M233">
        <v>5</v>
      </c>
      <c r="N233">
        <v>4</v>
      </c>
      <c r="O233">
        <v>3</v>
      </c>
      <c r="P233">
        <v>2</v>
      </c>
    </row>
    <row r="234" spans="1:16" x14ac:dyDescent="0.3">
      <c r="A234">
        <v>232</v>
      </c>
      <c r="B234" t="s">
        <v>419</v>
      </c>
      <c r="C234" t="s">
        <v>17</v>
      </c>
      <c r="D234" t="s">
        <v>420</v>
      </c>
      <c r="E234">
        <v>35.39</v>
      </c>
      <c r="F234">
        <v>119.55</v>
      </c>
      <c r="G234" t="s">
        <v>19</v>
      </c>
      <c r="H234" t="s">
        <v>20</v>
      </c>
      <c r="I234">
        <v>20</v>
      </c>
      <c r="J234">
        <v>3.5</v>
      </c>
      <c r="K234">
        <v>3.8</v>
      </c>
      <c r="L234">
        <v>3.9</v>
      </c>
      <c r="M234">
        <v>4</v>
      </c>
      <c r="N234">
        <v>5</v>
      </c>
      <c r="O234">
        <v>5</v>
      </c>
      <c r="P234">
        <v>2</v>
      </c>
    </row>
    <row r="235" spans="1:16" x14ac:dyDescent="0.3">
      <c r="A235">
        <v>233</v>
      </c>
      <c r="B235" t="s">
        <v>421</v>
      </c>
      <c r="C235" t="s">
        <v>22</v>
      </c>
      <c r="D235" t="s">
        <v>26</v>
      </c>
      <c r="E235">
        <v>37.799999999999997</v>
      </c>
      <c r="F235">
        <v>-122.27</v>
      </c>
      <c r="G235" t="s">
        <v>24</v>
      </c>
      <c r="H235" t="s">
        <v>20</v>
      </c>
      <c r="I235">
        <v>22</v>
      </c>
      <c r="J235">
        <v>3.5</v>
      </c>
      <c r="K235">
        <v>4</v>
      </c>
      <c r="L235">
        <v>3.9</v>
      </c>
      <c r="M235">
        <v>5</v>
      </c>
      <c r="N235">
        <v>5</v>
      </c>
      <c r="O235">
        <v>4</v>
      </c>
      <c r="P235">
        <v>5</v>
      </c>
    </row>
    <row r="236" spans="1:16" x14ac:dyDescent="0.3">
      <c r="A236">
        <v>234</v>
      </c>
      <c r="B236" t="s">
        <v>422</v>
      </c>
      <c r="C236" t="s">
        <v>423</v>
      </c>
      <c r="D236" t="s">
        <v>424</v>
      </c>
      <c r="E236">
        <v>13.75</v>
      </c>
      <c r="F236">
        <v>100.5</v>
      </c>
      <c r="G236" t="s">
        <v>19</v>
      </c>
      <c r="H236" t="s">
        <v>20</v>
      </c>
      <c r="I236">
        <v>22</v>
      </c>
      <c r="J236">
        <v>3.3</v>
      </c>
      <c r="K236">
        <v>3.9</v>
      </c>
      <c r="L236">
        <v>3.9</v>
      </c>
      <c r="M236">
        <v>2</v>
      </c>
      <c r="N236">
        <v>5</v>
      </c>
      <c r="O236">
        <v>4</v>
      </c>
      <c r="P236">
        <v>5</v>
      </c>
    </row>
    <row r="237" spans="1:16" x14ac:dyDescent="0.3">
      <c r="A237">
        <v>235</v>
      </c>
      <c r="B237" t="s">
        <v>425</v>
      </c>
      <c r="C237" t="s">
        <v>22</v>
      </c>
      <c r="D237" t="s">
        <v>65</v>
      </c>
      <c r="E237">
        <v>34.049999999999997</v>
      </c>
      <c r="F237">
        <v>-118.24</v>
      </c>
      <c r="G237" t="s">
        <v>24</v>
      </c>
      <c r="H237" t="s">
        <v>20</v>
      </c>
      <c r="I237">
        <v>20</v>
      </c>
      <c r="J237">
        <v>3.7</v>
      </c>
      <c r="K237">
        <v>3.5</v>
      </c>
      <c r="L237">
        <v>3.5</v>
      </c>
      <c r="M237">
        <v>5</v>
      </c>
      <c r="N237">
        <v>4</v>
      </c>
      <c r="O237">
        <v>5</v>
      </c>
      <c r="P237">
        <v>5</v>
      </c>
    </row>
    <row r="238" spans="1:16" x14ac:dyDescent="0.3">
      <c r="A238">
        <v>236</v>
      </c>
      <c r="B238" t="s">
        <v>426</v>
      </c>
      <c r="C238" t="s">
        <v>57</v>
      </c>
      <c r="D238" t="s">
        <v>58</v>
      </c>
      <c r="E238">
        <v>32.53</v>
      </c>
      <c r="F238">
        <v>-117.02</v>
      </c>
      <c r="G238" t="s">
        <v>24</v>
      </c>
      <c r="H238" t="s">
        <v>20</v>
      </c>
      <c r="I238">
        <v>23</v>
      </c>
      <c r="J238">
        <v>3.9</v>
      </c>
      <c r="K238">
        <v>2.8</v>
      </c>
      <c r="L238">
        <v>2.5</v>
      </c>
      <c r="M238">
        <v>4</v>
      </c>
      <c r="N238">
        <v>4</v>
      </c>
      <c r="O238">
        <v>5</v>
      </c>
      <c r="P238">
        <v>5</v>
      </c>
    </row>
    <row r="239" spans="1:16" x14ac:dyDescent="0.3">
      <c r="A239">
        <v>237</v>
      </c>
      <c r="B239" t="s">
        <v>427</v>
      </c>
      <c r="C239" t="s">
        <v>57</v>
      </c>
      <c r="D239" t="s">
        <v>58</v>
      </c>
      <c r="E239">
        <v>32.53</v>
      </c>
      <c r="F239">
        <v>-117.02</v>
      </c>
      <c r="G239" t="s">
        <v>19</v>
      </c>
      <c r="H239" t="s">
        <v>20</v>
      </c>
      <c r="I239">
        <v>21</v>
      </c>
      <c r="J239">
        <v>3.8</v>
      </c>
      <c r="K239">
        <v>3.5</v>
      </c>
      <c r="L239">
        <v>3.5</v>
      </c>
      <c r="M239">
        <v>4</v>
      </c>
      <c r="N239">
        <v>4</v>
      </c>
      <c r="O239">
        <v>4</v>
      </c>
      <c r="P239">
        <v>5</v>
      </c>
    </row>
    <row r="240" spans="1:16" x14ac:dyDescent="0.3">
      <c r="A240">
        <v>238</v>
      </c>
      <c r="B240" t="s">
        <v>428</v>
      </c>
      <c r="C240" t="s">
        <v>22</v>
      </c>
      <c r="D240" t="s">
        <v>429</v>
      </c>
      <c r="E240">
        <v>34.090000000000003</v>
      </c>
      <c r="F240">
        <v>-117.43</v>
      </c>
      <c r="G240" t="s">
        <v>19</v>
      </c>
      <c r="H240" t="s">
        <v>20</v>
      </c>
      <c r="I240">
        <v>22</v>
      </c>
      <c r="J240">
        <v>3.2</v>
      </c>
      <c r="K240">
        <v>3.6</v>
      </c>
      <c r="L240">
        <v>2.6</v>
      </c>
      <c r="M240">
        <v>5</v>
      </c>
      <c r="N240">
        <v>2</v>
      </c>
      <c r="O240">
        <v>4</v>
      </c>
      <c r="P240">
        <v>3</v>
      </c>
    </row>
    <row r="241" spans="1:16" x14ac:dyDescent="0.3">
      <c r="A241">
        <v>239</v>
      </c>
      <c r="B241" t="s">
        <v>430</v>
      </c>
      <c r="C241" t="s">
        <v>22</v>
      </c>
      <c r="D241" t="s">
        <v>65</v>
      </c>
      <c r="E241">
        <v>34.049999999999997</v>
      </c>
      <c r="F241">
        <v>-118.24</v>
      </c>
      <c r="G241" t="s">
        <v>19</v>
      </c>
      <c r="H241" t="s">
        <v>20</v>
      </c>
      <c r="I241">
        <v>23</v>
      </c>
      <c r="J241">
        <v>3.5</v>
      </c>
      <c r="K241">
        <v>3.1</v>
      </c>
      <c r="L241">
        <v>3.5</v>
      </c>
      <c r="M241">
        <v>5</v>
      </c>
      <c r="N241">
        <v>5</v>
      </c>
      <c r="O241">
        <v>4</v>
      </c>
      <c r="P241">
        <v>5</v>
      </c>
    </row>
    <row r="242" spans="1:16" x14ac:dyDescent="0.3">
      <c r="A242">
        <v>240</v>
      </c>
      <c r="B242" t="s">
        <v>431</v>
      </c>
      <c r="C242" t="s">
        <v>22</v>
      </c>
      <c r="D242" t="s">
        <v>65</v>
      </c>
      <c r="E242">
        <v>34.049999999999997</v>
      </c>
      <c r="F242">
        <v>-118.24</v>
      </c>
      <c r="G242" t="s">
        <v>67</v>
      </c>
      <c r="H242" t="s">
        <v>20</v>
      </c>
      <c r="I242">
        <v>21</v>
      </c>
      <c r="J242">
        <v>4</v>
      </c>
      <c r="K242">
        <v>3.8</v>
      </c>
      <c r="L242">
        <v>3.8</v>
      </c>
      <c r="M242">
        <v>5</v>
      </c>
      <c r="N242">
        <v>5</v>
      </c>
      <c r="O242">
        <v>5</v>
      </c>
      <c r="P242">
        <v>3</v>
      </c>
    </row>
    <row r="243" spans="1:16" x14ac:dyDescent="0.3">
      <c r="A243">
        <v>241</v>
      </c>
      <c r="B243" t="s">
        <v>432</v>
      </c>
      <c r="C243" t="s">
        <v>22</v>
      </c>
      <c r="D243" t="s">
        <v>395</v>
      </c>
      <c r="E243">
        <v>37.770000000000003</v>
      </c>
      <c r="F243">
        <v>-122.42</v>
      </c>
      <c r="G243" t="s">
        <v>19</v>
      </c>
      <c r="H243" t="s">
        <v>20</v>
      </c>
      <c r="I243">
        <v>23</v>
      </c>
      <c r="J243">
        <v>3.4</v>
      </c>
      <c r="K243">
        <v>3.4</v>
      </c>
      <c r="L243">
        <v>3.5</v>
      </c>
      <c r="M243">
        <v>5</v>
      </c>
      <c r="N243">
        <v>2</v>
      </c>
      <c r="O243">
        <v>5</v>
      </c>
      <c r="P243">
        <v>4</v>
      </c>
    </row>
    <row r="244" spans="1:16" x14ac:dyDescent="0.3">
      <c r="A244">
        <v>242</v>
      </c>
      <c r="B244" t="s">
        <v>433</v>
      </c>
      <c r="C244" t="s">
        <v>22</v>
      </c>
      <c r="D244" t="s">
        <v>434</v>
      </c>
      <c r="E244">
        <v>38.03</v>
      </c>
      <c r="F244">
        <v>-121.96</v>
      </c>
      <c r="G244" t="s">
        <v>24</v>
      </c>
      <c r="H244" t="s">
        <v>20</v>
      </c>
      <c r="I244">
        <v>22</v>
      </c>
      <c r="J244">
        <v>2.4</v>
      </c>
      <c r="K244">
        <v>3</v>
      </c>
      <c r="L244">
        <v>3.8</v>
      </c>
      <c r="M244">
        <v>5</v>
      </c>
      <c r="N244">
        <v>3</v>
      </c>
      <c r="O244">
        <v>4</v>
      </c>
      <c r="P244">
        <v>3</v>
      </c>
    </row>
    <row r="245" spans="1:16" x14ac:dyDescent="0.3">
      <c r="A245">
        <v>243</v>
      </c>
      <c r="B245" t="s">
        <v>435</v>
      </c>
      <c r="C245" t="s">
        <v>22</v>
      </c>
      <c r="D245" t="s">
        <v>198</v>
      </c>
      <c r="E245">
        <v>40.020000000000003</v>
      </c>
      <c r="F245">
        <v>-105.27</v>
      </c>
      <c r="G245" t="s">
        <v>24</v>
      </c>
      <c r="H245" t="s">
        <v>20</v>
      </c>
      <c r="I245">
        <v>24</v>
      </c>
      <c r="J245">
        <v>2</v>
      </c>
      <c r="K245">
        <v>3.9</v>
      </c>
      <c r="L245">
        <v>3.3</v>
      </c>
      <c r="M245">
        <v>5</v>
      </c>
      <c r="N245">
        <v>4</v>
      </c>
      <c r="O245">
        <v>4</v>
      </c>
      <c r="P245">
        <v>4</v>
      </c>
    </row>
    <row r="246" spans="1:16" x14ac:dyDescent="0.3">
      <c r="A246">
        <v>244</v>
      </c>
      <c r="B246" t="s">
        <v>436</v>
      </c>
      <c r="C246" t="s">
        <v>203</v>
      </c>
      <c r="D246" t="s">
        <v>437</v>
      </c>
      <c r="E246">
        <v>4.84</v>
      </c>
      <c r="F246">
        <v>-75.67</v>
      </c>
      <c r="G246" t="s">
        <v>24</v>
      </c>
      <c r="H246" t="s">
        <v>20</v>
      </c>
      <c r="I246">
        <v>21</v>
      </c>
      <c r="J246">
        <v>3.9</v>
      </c>
      <c r="K246">
        <v>3</v>
      </c>
      <c r="L246">
        <v>3.8</v>
      </c>
      <c r="M246">
        <v>3</v>
      </c>
      <c r="N246">
        <v>2</v>
      </c>
      <c r="O246">
        <v>4</v>
      </c>
      <c r="P246">
        <v>4</v>
      </c>
    </row>
    <row r="247" spans="1:16" x14ac:dyDescent="0.3">
      <c r="A247">
        <v>245</v>
      </c>
      <c r="B247" t="s">
        <v>438</v>
      </c>
      <c r="C247" t="s">
        <v>22</v>
      </c>
      <c r="D247" t="s">
        <v>65</v>
      </c>
      <c r="E247">
        <v>34.049999999999997</v>
      </c>
      <c r="F247">
        <v>-118.24</v>
      </c>
      <c r="G247" t="s">
        <v>24</v>
      </c>
      <c r="H247" t="s">
        <v>20</v>
      </c>
      <c r="I247">
        <v>21</v>
      </c>
      <c r="J247">
        <v>3.9</v>
      </c>
      <c r="K247">
        <v>3.9</v>
      </c>
      <c r="L247">
        <v>2.9</v>
      </c>
      <c r="M247">
        <v>5</v>
      </c>
      <c r="N247">
        <v>4</v>
      </c>
      <c r="O247">
        <v>4</v>
      </c>
      <c r="P247">
        <v>4</v>
      </c>
    </row>
    <row r="248" spans="1:16" x14ac:dyDescent="0.3">
      <c r="A248">
        <v>246</v>
      </c>
      <c r="B248" t="s">
        <v>439</v>
      </c>
      <c r="C248" t="s">
        <v>22</v>
      </c>
      <c r="D248" t="s">
        <v>52</v>
      </c>
      <c r="E248">
        <v>41.85</v>
      </c>
      <c r="F248">
        <v>-87.65</v>
      </c>
      <c r="G248" t="s">
        <v>19</v>
      </c>
      <c r="H248" t="s">
        <v>20</v>
      </c>
      <c r="I248">
        <v>22</v>
      </c>
      <c r="J248">
        <v>4</v>
      </c>
      <c r="K248">
        <v>3.6</v>
      </c>
      <c r="L248">
        <v>2.5</v>
      </c>
      <c r="M248">
        <v>5</v>
      </c>
      <c r="N248">
        <v>5</v>
      </c>
      <c r="O248">
        <v>4</v>
      </c>
      <c r="P248">
        <v>4</v>
      </c>
    </row>
    <row r="249" spans="1:16" x14ac:dyDescent="0.3">
      <c r="A249">
        <v>247</v>
      </c>
      <c r="B249" t="s">
        <v>440</v>
      </c>
      <c r="C249" t="s">
        <v>22</v>
      </c>
      <c r="D249" t="s">
        <v>65</v>
      </c>
      <c r="E249">
        <v>34.049999999999997</v>
      </c>
      <c r="F249">
        <v>-118.24</v>
      </c>
      <c r="G249" t="s">
        <v>24</v>
      </c>
      <c r="H249" t="s">
        <v>20</v>
      </c>
      <c r="I249">
        <v>22</v>
      </c>
      <c r="J249">
        <v>3.7</v>
      </c>
      <c r="K249">
        <v>3.5</v>
      </c>
      <c r="L249">
        <v>2.8</v>
      </c>
      <c r="M249">
        <v>5</v>
      </c>
      <c r="N249">
        <v>5</v>
      </c>
      <c r="O249">
        <v>4</v>
      </c>
      <c r="P249">
        <v>2</v>
      </c>
    </row>
    <row r="250" spans="1:16" x14ac:dyDescent="0.3">
      <c r="A250">
        <v>248</v>
      </c>
      <c r="B250" t="s">
        <v>441</v>
      </c>
      <c r="C250" t="s">
        <v>22</v>
      </c>
      <c r="D250" t="s">
        <v>109</v>
      </c>
      <c r="E250">
        <v>40.71</v>
      </c>
      <c r="F250">
        <v>-74.010000000000005</v>
      </c>
      <c r="G250" t="s">
        <v>24</v>
      </c>
      <c r="H250" t="s">
        <v>20</v>
      </c>
      <c r="I250">
        <v>22</v>
      </c>
      <c r="J250">
        <v>3.7</v>
      </c>
      <c r="K250">
        <v>3.2</v>
      </c>
      <c r="L250">
        <v>3.1</v>
      </c>
      <c r="M250">
        <v>5</v>
      </c>
      <c r="N250">
        <v>4</v>
      </c>
      <c r="O250">
        <v>3</v>
      </c>
      <c r="P250">
        <v>5</v>
      </c>
    </row>
    <row r="251" spans="1:16" x14ac:dyDescent="0.3">
      <c r="A251">
        <v>249</v>
      </c>
      <c r="B251" t="s">
        <v>442</v>
      </c>
      <c r="C251" t="s">
        <v>22</v>
      </c>
      <c r="D251" t="s">
        <v>65</v>
      </c>
      <c r="E251">
        <v>34.049999999999997</v>
      </c>
      <c r="F251">
        <v>-118.24</v>
      </c>
      <c r="G251" t="s">
        <v>19</v>
      </c>
      <c r="H251" t="s">
        <v>20</v>
      </c>
      <c r="I251">
        <v>23</v>
      </c>
      <c r="J251">
        <v>2.7</v>
      </c>
      <c r="K251">
        <v>3.9</v>
      </c>
      <c r="L251">
        <v>3</v>
      </c>
      <c r="M251">
        <v>5</v>
      </c>
      <c r="N251">
        <v>4</v>
      </c>
      <c r="O251">
        <v>4</v>
      </c>
      <c r="P251">
        <v>4</v>
      </c>
    </row>
    <row r="252" spans="1:16" x14ac:dyDescent="0.3">
      <c r="A252">
        <v>250</v>
      </c>
      <c r="B252" t="s">
        <v>443</v>
      </c>
      <c r="C252" t="s">
        <v>22</v>
      </c>
      <c r="D252" t="s">
        <v>444</v>
      </c>
      <c r="E252">
        <v>44.71</v>
      </c>
      <c r="F252">
        <v>-93.42</v>
      </c>
      <c r="G252" t="s">
        <v>19</v>
      </c>
      <c r="H252" t="s">
        <v>20</v>
      </c>
      <c r="I252">
        <v>23</v>
      </c>
      <c r="J252">
        <v>3.2</v>
      </c>
      <c r="K252">
        <v>3</v>
      </c>
      <c r="L252">
        <v>3.8</v>
      </c>
      <c r="M252">
        <v>5</v>
      </c>
      <c r="N252">
        <v>5</v>
      </c>
      <c r="O252">
        <v>5</v>
      </c>
      <c r="P252">
        <v>4</v>
      </c>
    </row>
    <row r="253" spans="1:16" x14ac:dyDescent="0.3">
      <c r="A253">
        <v>251</v>
      </c>
      <c r="B253" t="s">
        <v>445</v>
      </c>
      <c r="C253" t="s">
        <v>160</v>
      </c>
      <c r="D253" t="s">
        <v>161</v>
      </c>
      <c r="E253">
        <v>37.6</v>
      </c>
      <c r="F253">
        <v>126.98</v>
      </c>
      <c r="G253" t="s">
        <v>19</v>
      </c>
      <c r="H253" t="s">
        <v>20</v>
      </c>
      <c r="I253">
        <v>22</v>
      </c>
      <c r="J253">
        <v>3.5</v>
      </c>
      <c r="K253">
        <v>2.7</v>
      </c>
      <c r="L253">
        <v>3.2</v>
      </c>
      <c r="M253">
        <v>2</v>
      </c>
      <c r="N253">
        <v>5</v>
      </c>
      <c r="O253">
        <v>3</v>
      </c>
      <c r="P253">
        <v>5</v>
      </c>
    </row>
    <row r="254" spans="1:16" x14ac:dyDescent="0.3">
      <c r="A254">
        <v>252</v>
      </c>
      <c r="B254" t="s">
        <v>446</v>
      </c>
      <c r="C254" t="s">
        <v>22</v>
      </c>
      <c r="D254" t="s">
        <v>447</v>
      </c>
      <c r="E254">
        <v>44.12</v>
      </c>
      <c r="F254">
        <v>-70.11</v>
      </c>
      <c r="G254" t="s">
        <v>24</v>
      </c>
      <c r="H254" t="s">
        <v>20</v>
      </c>
      <c r="I254">
        <v>23</v>
      </c>
      <c r="J254">
        <v>3.8</v>
      </c>
      <c r="K254">
        <v>3.5</v>
      </c>
      <c r="L254">
        <v>3.7</v>
      </c>
      <c r="M254">
        <v>5</v>
      </c>
      <c r="N254">
        <v>4</v>
      </c>
      <c r="O254">
        <v>4</v>
      </c>
      <c r="P254">
        <v>5</v>
      </c>
    </row>
    <row r="255" spans="1:16" x14ac:dyDescent="0.3">
      <c r="A255">
        <v>253</v>
      </c>
      <c r="B255" t="s">
        <v>448</v>
      </c>
      <c r="C255" t="s">
        <v>22</v>
      </c>
      <c r="D255" t="s">
        <v>65</v>
      </c>
      <c r="E255">
        <v>34.049999999999997</v>
      </c>
      <c r="F255">
        <v>-118.24</v>
      </c>
      <c r="G255" t="s">
        <v>24</v>
      </c>
      <c r="H255" t="s">
        <v>20</v>
      </c>
      <c r="I255">
        <v>23</v>
      </c>
      <c r="J255">
        <v>2.7</v>
      </c>
      <c r="K255">
        <v>3.5</v>
      </c>
      <c r="L255">
        <v>3.7</v>
      </c>
      <c r="M255">
        <v>5</v>
      </c>
      <c r="N255">
        <v>4</v>
      </c>
      <c r="O255">
        <v>3</v>
      </c>
      <c r="P255">
        <v>4</v>
      </c>
    </row>
    <row r="256" spans="1:16" x14ac:dyDescent="0.3">
      <c r="A256">
        <v>254</v>
      </c>
      <c r="B256" t="s">
        <v>449</v>
      </c>
      <c r="C256" t="s">
        <v>22</v>
      </c>
      <c r="D256" t="s">
        <v>97</v>
      </c>
      <c r="E256">
        <v>33.450000000000003</v>
      </c>
      <c r="F256">
        <v>-112.07</v>
      </c>
      <c r="G256" t="s">
        <v>24</v>
      </c>
      <c r="H256" t="s">
        <v>20</v>
      </c>
      <c r="I256">
        <v>23</v>
      </c>
      <c r="J256">
        <v>2.7</v>
      </c>
      <c r="K256">
        <v>4</v>
      </c>
      <c r="L256">
        <v>3.9</v>
      </c>
      <c r="M256">
        <v>5</v>
      </c>
      <c r="N256">
        <v>5</v>
      </c>
      <c r="O256">
        <v>5</v>
      </c>
      <c r="P256">
        <v>5</v>
      </c>
    </row>
    <row r="257" spans="1:16" x14ac:dyDescent="0.3">
      <c r="A257">
        <v>255</v>
      </c>
      <c r="B257" t="s">
        <v>450</v>
      </c>
      <c r="C257" t="s">
        <v>22</v>
      </c>
      <c r="D257" t="s">
        <v>65</v>
      </c>
      <c r="E257">
        <v>34.049999999999997</v>
      </c>
      <c r="F257">
        <v>-118.24</v>
      </c>
      <c r="G257" t="s">
        <v>19</v>
      </c>
      <c r="H257" t="s">
        <v>20</v>
      </c>
      <c r="I257">
        <v>23</v>
      </c>
      <c r="J257">
        <v>3.5</v>
      </c>
      <c r="K257">
        <v>3.4</v>
      </c>
      <c r="L257">
        <v>3.7</v>
      </c>
      <c r="M257">
        <v>5</v>
      </c>
      <c r="N257">
        <v>2</v>
      </c>
      <c r="O257">
        <v>5</v>
      </c>
      <c r="P257">
        <v>5</v>
      </c>
    </row>
    <row r="258" spans="1:16" x14ac:dyDescent="0.3">
      <c r="A258">
        <v>256</v>
      </c>
      <c r="B258" t="s">
        <v>451</v>
      </c>
      <c r="C258" t="s">
        <v>22</v>
      </c>
      <c r="D258" t="s">
        <v>109</v>
      </c>
      <c r="E258">
        <v>40.71</v>
      </c>
      <c r="F258">
        <v>-74.010000000000005</v>
      </c>
      <c r="G258" t="s">
        <v>19</v>
      </c>
      <c r="H258" t="s">
        <v>20</v>
      </c>
      <c r="I258">
        <v>24</v>
      </c>
      <c r="J258">
        <v>3.8</v>
      </c>
      <c r="K258">
        <v>3.8</v>
      </c>
      <c r="L258">
        <v>2.2000000000000002</v>
      </c>
      <c r="M258">
        <v>5</v>
      </c>
      <c r="N258">
        <v>5</v>
      </c>
      <c r="O258">
        <v>3</v>
      </c>
      <c r="P258">
        <v>4</v>
      </c>
    </row>
    <row r="259" spans="1:16" x14ac:dyDescent="0.3">
      <c r="A259">
        <v>257</v>
      </c>
      <c r="B259" t="s">
        <v>452</v>
      </c>
      <c r="C259" t="s">
        <v>22</v>
      </c>
      <c r="D259" t="s">
        <v>453</v>
      </c>
      <c r="E259">
        <v>38.36</v>
      </c>
      <c r="F259">
        <v>-121.99</v>
      </c>
      <c r="G259" t="s">
        <v>24</v>
      </c>
      <c r="H259" t="s">
        <v>20</v>
      </c>
      <c r="I259">
        <v>22</v>
      </c>
      <c r="J259">
        <v>3</v>
      </c>
      <c r="K259">
        <v>3.4</v>
      </c>
      <c r="L259">
        <v>3.7</v>
      </c>
      <c r="M259">
        <v>5</v>
      </c>
      <c r="N259">
        <v>3</v>
      </c>
      <c r="O259">
        <v>5</v>
      </c>
      <c r="P259">
        <v>3</v>
      </c>
    </row>
    <row r="260" spans="1:16" x14ac:dyDescent="0.3">
      <c r="A260">
        <v>258</v>
      </c>
      <c r="B260" t="s">
        <v>454</v>
      </c>
      <c r="C260" t="s">
        <v>22</v>
      </c>
      <c r="D260" t="s">
        <v>65</v>
      </c>
      <c r="E260">
        <v>34.049999999999997</v>
      </c>
      <c r="F260">
        <v>-118.24</v>
      </c>
      <c r="G260" t="s">
        <v>24</v>
      </c>
      <c r="H260" t="s">
        <v>20</v>
      </c>
      <c r="I260">
        <v>21</v>
      </c>
      <c r="J260">
        <v>2.7</v>
      </c>
      <c r="K260">
        <v>4</v>
      </c>
      <c r="L260">
        <v>3.9</v>
      </c>
      <c r="M260">
        <v>5</v>
      </c>
      <c r="N260">
        <v>4</v>
      </c>
      <c r="O260">
        <v>3</v>
      </c>
      <c r="P260">
        <v>5</v>
      </c>
    </row>
    <row r="261" spans="1:16" x14ac:dyDescent="0.3">
      <c r="A261">
        <v>259</v>
      </c>
      <c r="B261" t="s">
        <v>455</v>
      </c>
      <c r="C261" t="s">
        <v>102</v>
      </c>
      <c r="D261" t="s">
        <v>456</v>
      </c>
      <c r="E261">
        <v>26.5</v>
      </c>
      <c r="F261">
        <v>83.79</v>
      </c>
      <c r="G261" t="s">
        <v>24</v>
      </c>
      <c r="H261" t="s">
        <v>20</v>
      </c>
      <c r="I261">
        <v>21</v>
      </c>
      <c r="J261">
        <v>2.2999999999999998</v>
      </c>
      <c r="K261">
        <v>3.8</v>
      </c>
      <c r="L261">
        <v>3.8</v>
      </c>
      <c r="M261">
        <v>4</v>
      </c>
      <c r="N261">
        <v>5</v>
      </c>
      <c r="O261">
        <v>5</v>
      </c>
      <c r="P261">
        <v>5</v>
      </c>
    </row>
    <row r="262" spans="1:16" x14ac:dyDescent="0.3">
      <c r="A262">
        <v>260</v>
      </c>
      <c r="B262" t="s">
        <v>457</v>
      </c>
      <c r="C262" t="s">
        <v>22</v>
      </c>
      <c r="D262" t="s">
        <v>458</v>
      </c>
      <c r="E262">
        <v>39.18</v>
      </c>
      <c r="F262">
        <v>-77.2</v>
      </c>
      <c r="G262" t="s">
        <v>19</v>
      </c>
      <c r="H262" t="s">
        <v>20</v>
      </c>
      <c r="I262">
        <v>22</v>
      </c>
      <c r="J262">
        <v>3.2</v>
      </c>
      <c r="K262">
        <v>3.6</v>
      </c>
      <c r="L262">
        <v>2.6</v>
      </c>
      <c r="M262">
        <v>5</v>
      </c>
      <c r="N262">
        <v>4</v>
      </c>
      <c r="O262">
        <v>4</v>
      </c>
      <c r="P262">
        <v>4</v>
      </c>
    </row>
    <row r="263" spans="1:16" x14ac:dyDescent="0.3">
      <c r="A263">
        <v>261</v>
      </c>
      <c r="B263" t="s">
        <v>459</v>
      </c>
      <c r="C263" t="s">
        <v>22</v>
      </c>
      <c r="D263" t="s">
        <v>460</v>
      </c>
      <c r="E263">
        <v>33.770000000000003</v>
      </c>
      <c r="F263">
        <v>-118.19</v>
      </c>
      <c r="G263" t="s">
        <v>24</v>
      </c>
      <c r="H263" t="s">
        <v>20</v>
      </c>
      <c r="I263">
        <v>21</v>
      </c>
      <c r="J263">
        <v>3.8</v>
      </c>
      <c r="K263">
        <v>2.4</v>
      </c>
      <c r="L263">
        <v>3.8</v>
      </c>
      <c r="M263">
        <v>5</v>
      </c>
      <c r="N263">
        <v>4</v>
      </c>
      <c r="O263">
        <v>2</v>
      </c>
      <c r="P263">
        <v>5</v>
      </c>
    </row>
    <row r="264" spans="1:16" x14ac:dyDescent="0.3">
      <c r="A264">
        <v>262</v>
      </c>
      <c r="B264" t="s">
        <v>461</v>
      </c>
      <c r="C264" t="s">
        <v>22</v>
      </c>
      <c r="D264" t="s">
        <v>142</v>
      </c>
      <c r="E264">
        <v>32.72</v>
      </c>
      <c r="F264">
        <v>-117.16</v>
      </c>
      <c r="G264" t="s">
        <v>19</v>
      </c>
      <c r="H264" t="s">
        <v>20</v>
      </c>
      <c r="I264">
        <v>22</v>
      </c>
      <c r="J264">
        <v>3.3</v>
      </c>
      <c r="K264">
        <v>2.8</v>
      </c>
      <c r="L264">
        <v>3.9</v>
      </c>
      <c r="M264">
        <v>5</v>
      </c>
      <c r="N264">
        <v>5</v>
      </c>
      <c r="O264">
        <v>5</v>
      </c>
      <c r="P264">
        <v>4</v>
      </c>
    </row>
    <row r="265" spans="1:16" x14ac:dyDescent="0.3">
      <c r="A265">
        <v>263</v>
      </c>
      <c r="B265" t="s">
        <v>462</v>
      </c>
      <c r="C265" t="s">
        <v>22</v>
      </c>
      <c r="D265" t="s">
        <v>150</v>
      </c>
      <c r="E265">
        <v>37.340000000000003</v>
      </c>
      <c r="F265">
        <v>-121.89</v>
      </c>
      <c r="G265" t="s">
        <v>24</v>
      </c>
      <c r="H265" t="s">
        <v>20</v>
      </c>
      <c r="I265">
        <v>22</v>
      </c>
      <c r="J265">
        <v>3.9</v>
      </c>
      <c r="K265">
        <v>3.7</v>
      </c>
      <c r="L265">
        <v>3.8</v>
      </c>
      <c r="M265">
        <v>5</v>
      </c>
      <c r="N265">
        <v>5</v>
      </c>
      <c r="O265">
        <v>3.5</v>
      </c>
      <c r="P265">
        <v>5</v>
      </c>
    </row>
    <row r="266" spans="1:16" x14ac:dyDescent="0.3">
      <c r="A266">
        <v>264</v>
      </c>
      <c r="B266" t="s">
        <v>463</v>
      </c>
      <c r="C266" t="s">
        <v>62</v>
      </c>
      <c r="D266" t="s">
        <v>63</v>
      </c>
      <c r="E266">
        <v>35.69</v>
      </c>
      <c r="F266">
        <v>139.75</v>
      </c>
      <c r="G266" t="s">
        <v>19</v>
      </c>
      <c r="H266" t="s">
        <v>20</v>
      </c>
      <c r="I266">
        <v>21</v>
      </c>
      <c r="J266">
        <v>2.9</v>
      </c>
      <c r="K266">
        <v>3.9</v>
      </c>
      <c r="L266">
        <v>3.5</v>
      </c>
      <c r="M266">
        <v>2</v>
      </c>
      <c r="N266">
        <v>4</v>
      </c>
      <c r="O266">
        <v>5</v>
      </c>
      <c r="P266">
        <v>4</v>
      </c>
    </row>
    <row r="267" spans="1:16" x14ac:dyDescent="0.3">
      <c r="A267">
        <v>265</v>
      </c>
      <c r="B267" t="s">
        <v>464</v>
      </c>
      <c r="C267" t="s">
        <v>57</v>
      </c>
      <c r="D267" t="s">
        <v>465</v>
      </c>
      <c r="E267">
        <v>19.7</v>
      </c>
      <c r="F267">
        <v>-101.12</v>
      </c>
      <c r="G267" t="s">
        <v>19</v>
      </c>
      <c r="H267" t="s">
        <v>20</v>
      </c>
      <c r="I267">
        <v>21</v>
      </c>
      <c r="J267">
        <v>3.9</v>
      </c>
      <c r="K267">
        <v>3.5</v>
      </c>
      <c r="L267">
        <v>3.6</v>
      </c>
      <c r="M267">
        <v>4</v>
      </c>
      <c r="N267">
        <v>4</v>
      </c>
      <c r="O267">
        <v>4</v>
      </c>
      <c r="P267">
        <v>3</v>
      </c>
    </row>
    <row r="268" spans="1:16" x14ac:dyDescent="0.3">
      <c r="A268">
        <v>266</v>
      </c>
      <c r="B268" t="s">
        <v>466</v>
      </c>
      <c r="C268" t="s">
        <v>22</v>
      </c>
      <c r="D268" t="s">
        <v>406</v>
      </c>
      <c r="E268">
        <v>39.53</v>
      </c>
      <c r="F268">
        <v>-119.81</v>
      </c>
      <c r="G268" t="s">
        <v>19</v>
      </c>
      <c r="H268" t="s">
        <v>20</v>
      </c>
      <c r="I268">
        <v>22</v>
      </c>
      <c r="J268">
        <v>3</v>
      </c>
      <c r="K268">
        <v>3</v>
      </c>
      <c r="L268">
        <v>3.5</v>
      </c>
      <c r="M268">
        <v>5</v>
      </c>
      <c r="N268">
        <v>5</v>
      </c>
      <c r="O268">
        <v>5</v>
      </c>
      <c r="P268">
        <v>3</v>
      </c>
    </row>
    <row r="269" spans="1:16" x14ac:dyDescent="0.3">
      <c r="A269">
        <v>267</v>
      </c>
      <c r="B269" t="s">
        <v>467</v>
      </c>
      <c r="C269" t="s">
        <v>22</v>
      </c>
      <c r="D269" t="s">
        <v>468</v>
      </c>
      <c r="E269">
        <v>29.74</v>
      </c>
      <c r="F269">
        <v>-94.98</v>
      </c>
      <c r="G269" t="s">
        <v>19</v>
      </c>
      <c r="H269" t="s">
        <v>20</v>
      </c>
      <c r="I269">
        <v>21</v>
      </c>
      <c r="J269">
        <v>3.2</v>
      </c>
      <c r="K269">
        <v>3.5</v>
      </c>
      <c r="L269">
        <v>3.3</v>
      </c>
      <c r="M269">
        <v>5</v>
      </c>
      <c r="N269">
        <v>4</v>
      </c>
      <c r="O269">
        <v>4</v>
      </c>
      <c r="P269">
        <v>5</v>
      </c>
    </row>
    <row r="270" spans="1:16" x14ac:dyDescent="0.3">
      <c r="A270">
        <v>268</v>
      </c>
      <c r="B270" t="s">
        <v>469</v>
      </c>
      <c r="C270" t="s">
        <v>57</v>
      </c>
      <c r="D270" t="s">
        <v>250</v>
      </c>
      <c r="E270">
        <v>21.88</v>
      </c>
      <c r="F270">
        <v>-102.3</v>
      </c>
      <c r="G270" t="s">
        <v>24</v>
      </c>
      <c r="H270" t="s">
        <v>20</v>
      </c>
      <c r="I270">
        <v>20</v>
      </c>
      <c r="J270">
        <v>4</v>
      </c>
      <c r="K270">
        <v>3.2</v>
      </c>
      <c r="L270">
        <v>3.5</v>
      </c>
      <c r="M270">
        <v>4</v>
      </c>
      <c r="N270">
        <v>3</v>
      </c>
      <c r="O270">
        <v>5</v>
      </c>
      <c r="P270">
        <v>3</v>
      </c>
    </row>
    <row r="271" spans="1:16" x14ac:dyDescent="0.3">
      <c r="A271">
        <v>269</v>
      </c>
      <c r="B271" t="s">
        <v>470</v>
      </c>
      <c r="C271" t="s">
        <v>22</v>
      </c>
      <c r="D271" t="s">
        <v>471</v>
      </c>
      <c r="E271">
        <v>30.69</v>
      </c>
      <c r="F271">
        <v>-88.04</v>
      </c>
      <c r="G271" t="s">
        <v>24</v>
      </c>
      <c r="H271" t="s">
        <v>20</v>
      </c>
      <c r="I271">
        <v>20</v>
      </c>
      <c r="J271">
        <v>4</v>
      </c>
      <c r="K271">
        <v>3.2</v>
      </c>
      <c r="L271">
        <v>3.1</v>
      </c>
      <c r="M271">
        <v>5</v>
      </c>
      <c r="N271">
        <v>4</v>
      </c>
      <c r="O271">
        <v>4</v>
      </c>
      <c r="P271">
        <v>5</v>
      </c>
    </row>
    <row r="272" spans="1:16" x14ac:dyDescent="0.3">
      <c r="A272">
        <v>270</v>
      </c>
      <c r="B272" t="s">
        <v>472</v>
      </c>
      <c r="C272" t="s">
        <v>22</v>
      </c>
      <c r="D272" t="s">
        <v>248</v>
      </c>
      <c r="E272">
        <v>36.17</v>
      </c>
      <c r="F272">
        <v>-115.14</v>
      </c>
      <c r="G272" t="s">
        <v>24</v>
      </c>
      <c r="H272" t="s">
        <v>20</v>
      </c>
      <c r="I272">
        <v>23</v>
      </c>
      <c r="J272">
        <v>3.6</v>
      </c>
      <c r="K272">
        <v>3.9</v>
      </c>
      <c r="L272">
        <v>3.7</v>
      </c>
      <c r="M272">
        <v>5</v>
      </c>
      <c r="N272">
        <v>4</v>
      </c>
      <c r="O272">
        <v>4</v>
      </c>
      <c r="P272">
        <v>4</v>
      </c>
    </row>
    <row r="273" spans="1:16" x14ac:dyDescent="0.3">
      <c r="A273">
        <v>271</v>
      </c>
      <c r="B273" t="s">
        <v>473</v>
      </c>
      <c r="C273" t="s">
        <v>32</v>
      </c>
      <c r="D273" t="s">
        <v>474</v>
      </c>
      <c r="E273">
        <v>-21.3</v>
      </c>
      <c r="F273">
        <v>-46.7</v>
      </c>
      <c r="G273" t="s">
        <v>19</v>
      </c>
      <c r="H273" t="s">
        <v>20</v>
      </c>
      <c r="I273">
        <v>21</v>
      </c>
      <c r="J273">
        <v>3.8</v>
      </c>
      <c r="K273">
        <v>3.8</v>
      </c>
      <c r="L273">
        <v>1.5</v>
      </c>
      <c r="M273">
        <v>4</v>
      </c>
      <c r="N273">
        <v>4</v>
      </c>
      <c r="O273">
        <v>3</v>
      </c>
      <c r="P273">
        <v>4</v>
      </c>
    </row>
    <row r="274" spans="1:16" x14ac:dyDescent="0.3">
      <c r="A274">
        <v>272</v>
      </c>
      <c r="B274" t="s">
        <v>475</v>
      </c>
      <c r="C274" t="s">
        <v>22</v>
      </c>
      <c r="D274" t="s">
        <v>109</v>
      </c>
      <c r="E274">
        <v>40.71</v>
      </c>
      <c r="F274">
        <v>-74.010000000000005</v>
      </c>
      <c r="G274" t="s">
        <v>24</v>
      </c>
      <c r="H274" t="s">
        <v>20</v>
      </c>
      <c r="I274">
        <v>21</v>
      </c>
      <c r="J274">
        <v>3.8</v>
      </c>
      <c r="K274">
        <v>2.1</v>
      </c>
      <c r="L274">
        <v>3</v>
      </c>
      <c r="M274">
        <v>5</v>
      </c>
      <c r="N274">
        <v>3</v>
      </c>
      <c r="O274">
        <v>4</v>
      </c>
      <c r="P274">
        <v>4</v>
      </c>
    </row>
    <row r="275" spans="1:16" x14ac:dyDescent="0.3">
      <c r="A275">
        <v>273</v>
      </c>
      <c r="B275" t="s">
        <v>476</v>
      </c>
      <c r="C275" t="s">
        <v>22</v>
      </c>
      <c r="D275" t="s">
        <v>89</v>
      </c>
      <c r="E275">
        <v>37.64</v>
      </c>
      <c r="F275">
        <v>-121</v>
      </c>
      <c r="G275" t="s">
        <v>24</v>
      </c>
      <c r="H275" t="s">
        <v>20</v>
      </c>
      <c r="I275">
        <v>22</v>
      </c>
      <c r="J275">
        <v>3.2</v>
      </c>
      <c r="K275">
        <v>2.6</v>
      </c>
      <c r="L275">
        <v>4</v>
      </c>
      <c r="M275">
        <v>5</v>
      </c>
      <c r="N275">
        <v>3</v>
      </c>
      <c r="O275">
        <v>3</v>
      </c>
      <c r="P275">
        <v>5</v>
      </c>
    </row>
    <row r="276" spans="1:16" x14ac:dyDescent="0.3">
      <c r="A276">
        <v>274</v>
      </c>
      <c r="B276" t="s">
        <v>477</v>
      </c>
      <c r="C276" t="s">
        <v>22</v>
      </c>
      <c r="D276" t="s">
        <v>248</v>
      </c>
      <c r="E276">
        <v>36.17</v>
      </c>
      <c r="F276">
        <v>-115.14</v>
      </c>
      <c r="G276" t="s">
        <v>19</v>
      </c>
      <c r="H276" t="s">
        <v>20</v>
      </c>
      <c r="I276">
        <v>21</v>
      </c>
      <c r="J276">
        <v>3.5</v>
      </c>
      <c r="K276">
        <v>3.8</v>
      </c>
      <c r="L276">
        <v>3.3</v>
      </c>
      <c r="M276">
        <v>5</v>
      </c>
      <c r="N276">
        <v>5</v>
      </c>
      <c r="O276">
        <v>4</v>
      </c>
      <c r="P276">
        <v>5</v>
      </c>
    </row>
    <row r="277" spans="1:16" x14ac:dyDescent="0.3">
      <c r="A277">
        <v>275</v>
      </c>
      <c r="B277" t="s">
        <v>478</v>
      </c>
      <c r="C277" t="s">
        <v>22</v>
      </c>
      <c r="D277" t="s">
        <v>395</v>
      </c>
      <c r="E277">
        <v>37.770000000000003</v>
      </c>
      <c r="F277">
        <v>-122.42</v>
      </c>
      <c r="G277" t="s">
        <v>24</v>
      </c>
      <c r="H277" t="s">
        <v>20</v>
      </c>
      <c r="I277">
        <v>21</v>
      </c>
      <c r="J277">
        <v>4</v>
      </c>
      <c r="K277">
        <v>3</v>
      </c>
      <c r="L277">
        <v>3.4</v>
      </c>
      <c r="M277">
        <v>5</v>
      </c>
      <c r="N277">
        <v>4</v>
      </c>
      <c r="O277">
        <v>3</v>
      </c>
      <c r="P277">
        <v>4</v>
      </c>
    </row>
    <row r="278" spans="1:16" x14ac:dyDescent="0.3">
      <c r="A278">
        <v>276</v>
      </c>
      <c r="B278" t="s">
        <v>479</v>
      </c>
      <c r="C278" t="s">
        <v>22</v>
      </c>
      <c r="D278" t="s">
        <v>480</v>
      </c>
      <c r="E278">
        <v>32.520000000000003</v>
      </c>
      <c r="F278">
        <v>-93.75</v>
      </c>
      <c r="G278" t="s">
        <v>24</v>
      </c>
      <c r="H278" t="s">
        <v>20</v>
      </c>
      <c r="I278">
        <v>22</v>
      </c>
      <c r="J278">
        <v>3.4</v>
      </c>
      <c r="K278">
        <v>3.8</v>
      </c>
      <c r="L278">
        <v>3.2</v>
      </c>
      <c r="M278">
        <v>5</v>
      </c>
      <c r="N278">
        <v>4</v>
      </c>
      <c r="O278">
        <v>4</v>
      </c>
      <c r="P278">
        <v>4</v>
      </c>
    </row>
    <row r="279" spans="1:16" x14ac:dyDescent="0.3">
      <c r="A279">
        <v>277</v>
      </c>
      <c r="B279" t="s">
        <v>481</v>
      </c>
      <c r="C279" t="s">
        <v>22</v>
      </c>
      <c r="D279" t="s">
        <v>157</v>
      </c>
      <c r="E279">
        <v>37.96</v>
      </c>
      <c r="F279">
        <v>-121.29</v>
      </c>
      <c r="G279" t="s">
        <v>19</v>
      </c>
      <c r="H279" t="s">
        <v>20</v>
      </c>
      <c r="I279">
        <v>21</v>
      </c>
      <c r="J279">
        <v>3.8</v>
      </c>
      <c r="K279">
        <v>3.8</v>
      </c>
      <c r="L279">
        <v>3.6</v>
      </c>
      <c r="M279">
        <v>5</v>
      </c>
      <c r="N279">
        <v>3</v>
      </c>
      <c r="O279">
        <v>5</v>
      </c>
      <c r="P279">
        <v>4</v>
      </c>
    </row>
    <row r="280" spans="1:16" x14ac:dyDescent="0.3">
      <c r="A280">
        <v>278</v>
      </c>
      <c r="B280" t="s">
        <v>482</v>
      </c>
      <c r="C280" t="s">
        <v>22</v>
      </c>
      <c r="D280" t="s">
        <v>483</v>
      </c>
      <c r="E280">
        <v>39.090000000000003</v>
      </c>
      <c r="F280">
        <v>-94.42</v>
      </c>
      <c r="G280" t="s">
        <v>24</v>
      </c>
      <c r="H280" t="s">
        <v>20</v>
      </c>
      <c r="I280">
        <v>21</v>
      </c>
      <c r="J280">
        <v>3.9</v>
      </c>
      <c r="K280">
        <v>2.6</v>
      </c>
      <c r="L280">
        <v>2.8</v>
      </c>
      <c r="M280">
        <v>5</v>
      </c>
      <c r="N280">
        <v>3</v>
      </c>
      <c r="O280">
        <v>5</v>
      </c>
      <c r="P280">
        <v>5</v>
      </c>
    </row>
    <row r="281" spans="1:16" x14ac:dyDescent="0.3">
      <c r="A281">
        <v>279</v>
      </c>
      <c r="B281" t="s">
        <v>484</v>
      </c>
      <c r="C281" t="s">
        <v>22</v>
      </c>
      <c r="D281" t="s">
        <v>65</v>
      </c>
      <c r="E281">
        <v>34.049999999999997</v>
      </c>
      <c r="F281">
        <v>-118.24</v>
      </c>
      <c r="G281" t="s">
        <v>19</v>
      </c>
      <c r="H281" t="s">
        <v>20</v>
      </c>
      <c r="I281">
        <v>23</v>
      </c>
      <c r="J281">
        <v>2.6</v>
      </c>
      <c r="K281">
        <v>3</v>
      </c>
      <c r="L281">
        <v>2.2999999999999998</v>
      </c>
      <c r="M281">
        <v>5</v>
      </c>
      <c r="N281">
        <v>4</v>
      </c>
      <c r="O281">
        <v>4</v>
      </c>
      <c r="P281">
        <v>4</v>
      </c>
    </row>
    <row r="282" spans="1:16" x14ac:dyDescent="0.3">
      <c r="A282">
        <v>280</v>
      </c>
      <c r="B282" t="s">
        <v>485</v>
      </c>
      <c r="C282" t="s">
        <v>62</v>
      </c>
      <c r="D282" t="s">
        <v>63</v>
      </c>
      <c r="E282">
        <v>35.69</v>
      </c>
      <c r="F282">
        <v>139.75</v>
      </c>
      <c r="G282" t="s">
        <v>19</v>
      </c>
      <c r="H282" t="s">
        <v>20</v>
      </c>
      <c r="I282">
        <v>22</v>
      </c>
      <c r="J282">
        <v>3.4</v>
      </c>
      <c r="K282">
        <v>4</v>
      </c>
      <c r="L282">
        <v>3.6</v>
      </c>
      <c r="M282">
        <v>3</v>
      </c>
      <c r="N282">
        <v>4</v>
      </c>
      <c r="O282">
        <v>4</v>
      </c>
      <c r="P282">
        <v>3</v>
      </c>
    </row>
    <row r="283" spans="1:16" x14ac:dyDescent="0.3">
      <c r="A283">
        <v>281</v>
      </c>
      <c r="B283" t="s">
        <v>486</v>
      </c>
      <c r="C283" t="s">
        <v>22</v>
      </c>
      <c r="D283" t="s">
        <v>487</v>
      </c>
      <c r="E283">
        <v>29.62</v>
      </c>
      <c r="F283">
        <v>-95.63</v>
      </c>
      <c r="G283" t="s">
        <v>24</v>
      </c>
      <c r="H283" t="s">
        <v>20</v>
      </c>
      <c r="I283">
        <v>20</v>
      </c>
      <c r="J283">
        <v>2.9</v>
      </c>
      <c r="K283">
        <v>3.1</v>
      </c>
      <c r="L283">
        <v>2.6</v>
      </c>
      <c r="M283">
        <v>5</v>
      </c>
      <c r="N283">
        <v>5</v>
      </c>
      <c r="O283">
        <v>5</v>
      </c>
      <c r="P283">
        <v>4</v>
      </c>
    </row>
    <row r="284" spans="1:16" x14ac:dyDescent="0.3">
      <c r="A284">
        <v>282</v>
      </c>
      <c r="B284" t="s">
        <v>488</v>
      </c>
      <c r="C284" t="s">
        <v>22</v>
      </c>
      <c r="D284" t="s">
        <v>489</v>
      </c>
      <c r="E284">
        <v>36.299999999999997</v>
      </c>
      <c r="F284">
        <v>-119.78</v>
      </c>
      <c r="G284" t="s">
        <v>24</v>
      </c>
      <c r="H284" t="s">
        <v>20</v>
      </c>
      <c r="I284">
        <v>23</v>
      </c>
      <c r="J284">
        <v>2.4</v>
      </c>
      <c r="K284">
        <v>3.6</v>
      </c>
      <c r="L284">
        <v>2.8</v>
      </c>
      <c r="M284">
        <v>5</v>
      </c>
      <c r="N284">
        <v>3</v>
      </c>
      <c r="O284">
        <v>5</v>
      </c>
      <c r="P284">
        <v>5</v>
      </c>
    </row>
    <row r="285" spans="1:16" x14ac:dyDescent="0.3">
      <c r="A285">
        <v>283</v>
      </c>
      <c r="B285" t="s">
        <v>490</v>
      </c>
      <c r="C285" t="s">
        <v>203</v>
      </c>
      <c r="D285" t="s">
        <v>344</v>
      </c>
      <c r="E285">
        <v>4.6500000000000004</v>
      </c>
      <c r="F285">
        <v>-74.06</v>
      </c>
      <c r="G285" t="s">
        <v>24</v>
      </c>
      <c r="H285" t="s">
        <v>20</v>
      </c>
      <c r="I285">
        <v>20</v>
      </c>
      <c r="J285">
        <v>3.8</v>
      </c>
      <c r="K285">
        <v>3.9</v>
      </c>
      <c r="L285">
        <v>3.9</v>
      </c>
      <c r="M285">
        <v>4</v>
      </c>
      <c r="N285">
        <v>5</v>
      </c>
      <c r="O285">
        <v>4</v>
      </c>
      <c r="P285">
        <v>4</v>
      </c>
    </row>
    <row r="286" spans="1:16" x14ac:dyDescent="0.3">
      <c r="A286">
        <v>284</v>
      </c>
      <c r="B286" t="s">
        <v>491</v>
      </c>
      <c r="C286" t="s">
        <v>22</v>
      </c>
      <c r="D286" t="s">
        <v>26</v>
      </c>
      <c r="E286">
        <v>37.799999999999997</v>
      </c>
      <c r="F286">
        <v>-122.27</v>
      </c>
      <c r="G286" t="s">
        <v>24</v>
      </c>
      <c r="H286" t="s">
        <v>20</v>
      </c>
      <c r="I286">
        <v>22</v>
      </c>
      <c r="J286">
        <v>3.7</v>
      </c>
      <c r="K286">
        <v>3.3</v>
      </c>
      <c r="L286">
        <v>2.4</v>
      </c>
      <c r="M286">
        <v>5</v>
      </c>
      <c r="N286">
        <v>4</v>
      </c>
      <c r="O286">
        <v>4</v>
      </c>
      <c r="P286">
        <v>4</v>
      </c>
    </row>
    <row r="287" spans="1:16" x14ac:dyDescent="0.3">
      <c r="A287">
        <v>285</v>
      </c>
      <c r="B287" t="s">
        <v>492</v>
      </c>
      <c r="C287" t="s">
        <v>32</v>
      </c>
      <c r="D287" t="s">
        <v>493</v>
      </c>
      <c r="E287">
        <v>-21.43</v>
      </c>
      <c r="F287">
        <v>-45.95</v>
      </c>
      <c r="G287" t="s">
        <v>19</v>
      </c>
      <c r="H287" t="s">
        <v>20</v>
      </c>
      <c r="I287">
        <v>22</v>
      </c>
      <c r="J287">
        <v>2.8</v>
      </c>
      <c r="K287">
        <v>3.5</v>
      </c>
      <c r="L287">
        <v>3.9</v>
      </c>
      <c r="M287">
        <v>4</v>
      </c>
      <c r="N287">
        <v>4</v>
      </c>
      <c r="O287">
        <v>5</v>
      </c>
      <c r="P287">
        <v>5</v>
      </c>
    </row>
    <row r="288" spans="1:16" x14ac:dyDescent="0.3">
      <c r="A288">
        <v>286</v>
      </c>
      <c r="B288" t="s">
        <v>494</v>
      </c>
      <c r="C288" t="s">
        <v>22</v>
      </c>
      <c r="D288" t="s">
        <v>109</v>
      </c>
      <c r="E288">
        <v>40.71</v>
      </c>
      <c r="F288">
        <v>-74.010000000000005</v>
      </c>
      <c r="G288" t="s">
        <v>24</v>
      </c>
      <c r="H288" t="s">
        <v>20</v>
      </c>
      <c r="I288">
        <v>21</v>
      </c>
      <c r="J288">
        <v>4</v>
      </c>
      <c r="K288">
        <v>4</v>
      </c>
      <c r="L288">
        <v>4</v>
      </c>
      <c r="M288">
        <v>5</v>
      </c>
      <c r="N288">
        <v>3</v>
      </c>
      <c r="O288">
        <v>5</v>
      </c>
      <c r="P288">
        <v>5</v>
      </c>
    </row>
    <row r="289" spans="1:16" x14ac:dyDescent="0.3">
      <c r="A289">
        <v>287</v>
      </c>
      <c r="B289" t="s">
        <v>495</v>
      </c>
      <c r="C289" t="s">
        <v>22</v>
      </c>
      <c r="D289" t="s">
        <v>142</v>
      </c>
      <c r="E289">
        <v>32.72</v>
      </c>
      <c r="F289">
        <v>-117.16</v>
      </c>
      <c r="G289" t="s">
        <v>24</v>
      </c>
      <c r="H289" t="s">
        <v>20</v>
      </c>
      <c r="I289">
        <v>22</v>
      </c>
      <c r="J289">
        <v>3.9</v>
      </c>
      <c r="K289">
        <v>2.6</v>
      </c>
      <c r="L289">
        <v>4</v>
      </c>
      <c r="M289">
        <v>5</v>
      </c>
      <c r="N289">
        <v>4</v>
      </c>
      <c r="O289">
        <v>4</v>
      </c>
      <c r="P289">
        <v>5</v>
      </c>
    </row>
    <row r="290" spans="1:16" x14ac:dyDescent="0.3">
      <c r="A290">
        <v>288</v>
      </c>
      <c r="B290" t="s">
        <v>496</v>
      </c>
      <c r="C290" t="s">
        <v>22</v>
      </c>
      <c r="D290" t="s">
        <v>109</v>
      </c>
      <c r="E290">
        <v>40.71</v>
      </c>
      <c r="F290">
        <v>-74.010000000000005</v>
      </c>
      <c r="G290" t="s">
        <v>24</v>
      </c>
      <c r="H290" t="s">
        <v>20</v>
      </c>
      <c r="I290">
        <v>20</v>
      </c>
      <c r="J290">
        <v>2.6</v>
      </c>
      <c r="K290">
        <v>2.1</v>
      </c>
      <c r="L290">
        <v>3.2</v>
      </c>
      <c r="M290">
        <v>5</v>
      </c>
      <c r="N290">
        <v>4</v>
      </c>
      <c r="O290">
        <v>5</v>
      </c>
      <c r="P290">
        <v>5</v>
      </c>
    </row>
    <row r="291" spans="1:16" x14ac:dyDescent="0.3">
      <c r="A291">
        <v>289</v>
      </c>
      <c r="B291" t="s">
        <v>497</v>
      </c>
      <c r="C291" t="s">
        <v>22</v>
      </c>
      <c r="D291" t="s">
        <v>109</v>
      </c>
      <c r="E291">
        <v>40.71</v>
      </c>
      <c r="F291">
        <v>-74.010000000000005</v>
      </c>
      <c r="G291" t="s">
        <v>24</v>
      </c>
      <c r="H291" t="s">
        <v>20</v>
      </c>
      <c r="I291">
        <v>24</v>
      </c>
      <c r="J291">
        <v>3.3</v>
      </c>
      <c r="K291">
        <v>2.8</v>
      </c>
      <c r="L291">
        <v>3.9</v>
      </c>
      <c r="M291">
        <v>5</v>
      </c>
      <c r="N291">
        <v>5</v>
      </c>
      <c r="O291">
        <v>4</v>
      </c>
      <c r="P291">
        <v>5</v>
      </c>
    </row>
    <row r="292" spans="1:16" x14ac:dyDescent="0.3">
      <c r="A292">
        <v>290</v>
      </c>
      <c r="B292" t="s">
        <v>498</v>
      </c>
      <c r="C292" t="s">
        <v>22</v>
      </c>
      <c r="D292" t="s">
        <v>499</v>
      </c>
      <c r="E292">
        <v>43.83</v>
      </c>
      <c r="F292">
        <v>-111.79</v>
      </c>
      <c r="G292" t="s">
        <v>19</v>
      </c>
      <c r="H292" t="s">
        <v>20</v>
      </c>
      <c r="I292">
        <v>22</v>
      </c>
      <c r="J292">
        <v>3.9</v>
      </c>
      <c r="K292">
        <v>4</v>
      </c>
      <c r="L292">
        <v>3.3</v>
      </c>
      <c r="M292">
        <v>5</v>
      </c>
      <c r="N292">
        <v>5</v>
      </c>
      <c r="O292">
        <v>4</v>
      </c>
      <c r="P292">
        <v>4</v>
      </c>
    </row>
    <row r="293" spans="1:16" x14ac:dyDescent="0.3">
      <c r="A293">
        <v>291</v>
      </c>
      <c r="B293" t="s">
        <v>500</v>
      </c>
      <c r="C293" t="s">
        <v>22</v>
      </c>
      <c r="D293" t="s">
        <v>501</v>
      </c>
      <c r="E293">
        <v>25.77</v>
      </c>
      <c r="F293">
        <v>-80.19</v>
      </c>
      <c r="G293" t="s">
        <v>24</v>
      </c>
      <c r="H293" t="s">
        <v>20</v>
      </c>
      <c r="I293">
        <v>24</v>
      </c>
      <c r="J293">
        <v>3.7</v>
      </c>
      <c r="K293">
        <v>3.2</v>
      </c>
      <c r="L293">
        <v>2.8</v>
      </c>
      <c r="M293">
        <v>5</v>
      </c>
      <c r="N293">
        <v>4</v>
      </c>
      <c r="O293">
        <v>4</v>
      </c>
      <c r="P293">
        <v>5</v>
      </c>
    </row>
    <row r="294" spans="1:16" x14ac:dyDescent="0.3">
      <c r="A294">
        <v>292</v>
      </c>
      <c r="B294" t="s">
        <v>502</v>
      </c>
      <c r="C294" t="s">
        <v>22</v>
      </c>
      <c r="D294" t="s">
        <v>109</v>
      </c>
      <c r="E294">
        <v>40.71</v>
      </c>
      <c r="F294">
        <v>-74.010000000000005</v>
      </c>
      <c r="G294" t="s">
        <v>19</v>
      </c>
      <c r="H294" t="s">
        <v>20</v>
      </c>
      <c r="I294">
        <v>23</v>
      </c>
      <c r="J294">
        <v>3.2</v>
      </c>
      <c r="K294">
        <v>3.4</v>
      </c>
      <c r="L294">
        <v>3.7</v>
      </c>
      <c r="M294">
        <v>5</v>
      </c>
      <c r="N294">
        <v>4</v>
      </c>
      <c r="O294">
        <v>5</v>
      </c>
      <c r="P294">
        <v>3</v>
      </c>
    </row>
    <row r="295" spans="1:16" x14ac:dyDescent="0.3">
      <c r="A295">
        <v>293</v>
      </c>
      <c r="B295" t="s">
        <v>503</v>
      </c>
      <c r="C295" t="s">
        <v>69</v>
      </c>
      <c r="D295" t="s">
        <v>504</v>
      </c>
      <c r="E295">
        <v>49.25</v>
      </c>
      <c r="F295">
        <v>-123.13</v>
      </c>
      <c r="G295" t="s">
        <v>19</v>
      </c>
      <c r="H295" t="s">
        <v>20</v>
      </c>
      <c r="I295">
        <v>20</v>
      </c>
      <c r="J295">
        <v>3.5</v>
      </c>
      <c r="K295">
        <v>3.7</v>
      </c>
      <c r="L295">
        <v>3.4</v>
      </c>
      <c r="M295">
        <v>5</v>
      </c>
      <c r="N295">
        <v>5</v>
      </c>
      <c r="O295">
        <v>5</v>
      </c>
      <c r="P295">
        <v>5</v>
      </c>
    </row>
    <row r="296" spans="1:16" x14ac:dyDescent="0.3">
      <c r="A296">
        <v>294</v>
      </c>
      <c r="B296" t="s">
        <v>505</v>
      </c>
      <c r="C296" t="s">
        <v>22</v>
      </c>
      <c r="D296" t="s">
        <v>142</v>
      </c>
      <c r="E296">
        <v>32.72</v>
      </c>
      <c r="F296">
        <v>-117.16</v>
      </c>
      <c r="G296" t="s">
        <v>24</v>
      </c>
      <c r="H296" t="s">
        <v>20</v>
      </c>
      <c r="I296">
        <v>23</v>
      </c>
      <c r="J296">
        <v>3.9</v>
      </c>
      <c r="K296">
        <v>4</v>
      </c>
      <c r="L296">
        <v>3.9</v>
      </c>
      <c r="M296">
        <v>5</v>
      </c>
      <c r="N296">
        <v>4</v>
      </c>
      <c r="O296">
        <v>4</v>
      </c>
      <c r="P296">
        <v>4</v>
      </c>
    </row>
    <row r="297" spans="1:16" x14ac:dyDescent="0.3">
      <c r="A297">
        <v>295</v>
      </c>
      <c r="B297" t="s">
        <v>506</v>
      </c>
      <c r="C297" t="s">
        <v>22</v>
      </c>
      <c r="D297" t="s">
        <v>65</v>
      </c>
      <c r="E297">
        <v>34.049999999999997</v>
      </c>
      <c r="F297">
        <v>-118.24</v>
      </c>
      <c r="G297" t="s">
        <v>24</v>
      </c>
      <c r="H297" t="s">
        <v>20</v>
      </c>
      <c r="I297">
        <v>23</v>
      </c>
      <c r="J297">
        <v>2.2999999999999998</v>
      </c>
      <c r="K297">
        <v>3</v>
      </c>
      <c r="L297">
        <v>3.5</v>
      </c>
      <c r="M297">
        <v>5</v>
      </c>
      <c r="N297">
        <v>1</v>
      </c>
      <c r="O297">
        <v>5</v>
      </c>
      <c r="P297">
        <v>5</v>
      </c>
    </row>
    <row r="298" spans="1:16" x14ac:dyDescent="0.3">
      <c r="A298">
        <v>296</v>
      </c>
      <c r="B298" t="s">
        <v>507</v>
      </c>
      <c r="C298" t="s">
        <v>57</v>
      </c>
      <c r="D298" t="s">
        <v>508</v>
      </c>
      <c r="E298">
        <v>19.98</v>
      </c>
      <c r="F298">
        <v>-102.27</v>
      </c>
      <c r="G298" t="s">
        <v>19</v>
      </c>
      <c r="H298" t="s">
        <v>20</v>
      </c>
      <c r="I298">
        <v>23</v>
      </c>
      <c r="J298">
        <v>3.9</v>
      </c>
      <c r="K298">
        <v>3.7</v>
      </c>
      <c r="L298">
        <v>2.9</v>
      </c>
      <c r="M298">
        <v>4</v>
      </c>
      <c r="N298">
        <v>3</v>
      </c>
      <c r="O298">
        <v>4</v>
      </c>
      <c r="P298">
        <v>4</v>
      </c>
    </row>
    <row r="299" spans="1:16" x14ac:dyDescent="0.3">
      <c r="A299">
        <v>297</v>
      </c>
      <c r="B299" t="s">
        <v>509</v>
      </c>
      <c r="C299" t="s">
        <v>22</v>
      </c>
      <c r="D299" t="s">
        <v>140</v>
      </c>
      <c r="E299">
        <v>35.229999999999997</v>
      </c>
      <c r="F299">
        <v>-80.84</v>
      </c>
      <c r="G299" t="s">
        <v>24</v>
      </c>
      <c r="H299" t="s">
        <v>20</v>
      </c>
      <c r="I299">
        <v>23</v>
      </c>
      <c r="J299">
        <v>3.8</v>
      </c>
      <c r="K299">
        <v>3.5</v>
      </c>
      <c r="L299">
        <v>3.9</v>
      </c>
      <c r="M299">
        <v>5</v>
      </c>
      <c r="N299">
        <v>5</v>
      </c>
      <c r="O299">
        <v>2</v>
      </c>
      <c r="P299">
        <v>5</v>
      </c>
    </row>
    <row r="300" spans="1:16" x14ac:dyDescent="0.3">
      <c r="A300">
        <v>298</v>
      </c>
      <c r="B300" t="s">
        <v>510</v>
      </c>
      <c r="C300" t="s">
        <v>22</v>
      </c>
      <c r="D300" t="s">
        <v>109</v>
      </c>
      <c r="E300">
        <v>40.71</v>
      </c>
      <c r="F300">
        <v>-74.010000000000005</v>
      </c>
      <c r="G300" t="s">
        <v>24</v>
      </c>
      <c r="H300" t="s">
        <v>20</v>
      </c>
      <c r="I300">
        <v>23</v>
      </c>
      <c r="J300">
        <v>2.7</v>
      </c>
      <c r="K300">
        <v>3.7</v>
      </c>
      <c r="L300">
        <v>3.9</v>
      </c>
      <c r="M300">
        <v>5</v>
      </c>
      <c r="N300">
        <v>5</v>
      </c>
      <c r="O300">
        <v>4</v>
      </c>
      <c r="P300">
        <v>4</v>
      </c>
    </row>
    <row r="301" spans="1:16" x14ac:dyDescent="0.3">
      <c r="A301">
        <v>299</v>
      </c>
      <c r="B301" t="s">
        <v>511</v>
      </c>
      <c r="C301" t="s">
        <v>22</v>
      </c>
      <c r="D301" t="s">
        <v>512</v>
      </c>
      <c r="E301">
        <v>32.729999999999997</v>
      </c>
      <c r="F301">
        <v>-97.32</v>
      </c>
      <c r="G301" t="s">
        <v>24</v>
      </c>
      <c r="H301" t="s">
        <v>20</v>
      </c>
      <c r="I301">
        <v>23</v>
      </c>
      <c r="J301">
        <v>3.1</v>
      </c>
      <c r="K301">
        <v>3.3</v>
      </c>
      <c r="L301">
        <v>2.9</v>
      </c>
      <c r="M301">
        <v>5</v>
      </c>
      <c r="N301">
        <v>2</v>
      </c>
      <c r="O301">
        <v>4</v>
      </c>
      <c r="P301">
        <v>4</v>
      </c>
    </row>
    <row r="302" spans="1:16" x14ac:dyDescent="0.3">
      <c r="A302">
        <v>300</v>
      </c>
      <c r="B302" t="s">
        <v>513</v>
      </c>
      <c r="C302" t="s">
        <v>22</v>
      </c>
      <c r="D302" t="s">
        <v>514</v>
      </c>
      <c r="E302">
        <v>37.549999999999997</v>
      </c>
      <c r="F302">
        <v>-97.27</v>
      </c>
      <c r="G302" t="s">
        <v>19</v>
      </c>
      <c r="H302" t="s">
        <v>20</v>
      </c>
      <c r="I302">
        <v>21</v>
      </c>
      <c r="J302">
        <v>3.3</v>
      </c>
      <c r="K302">
        <v>3.3</v>
      </c>
      <c r="L302">
        <v>2</v>
      </c>
      <c r="M302">
        <v>5</v>
      </c>
      <c r="N302">
        <v>3</v>
      </c>
      <c r="O302">
        <v>3</v>
      </c>
      <c r="P302">
        <v>5</v>
      </c>
    </row>
    <row r="303" spans="1:16" x14ac:dyDescent="0.3">
      <c r="A303">
        <v>301</v>
      </c>
      <c r="B303" t="s">
        <v>515</v>
      </c>
      <c r="C303" t="s">
        <v>516</v>
      </c>
      <c r="D303" t="s">
        <v>517</v>
      </c>
      <c r="E303">
        <v>12.44</v>
      </c>
      <c r="F303">
        <v>-86.88</v>
      </c>
      <c r="G303" t="s">
        <v>19</v>
      </c>
      <c r="H303" t="s">
        <v>20</v>
      </c>
      <c r="I303">
        <v>24</v>
      </c>
      <c r="J303">
        <v>3.3</v>
      </c>
      <c r="K303">
        <v>3.7</v>
      </c>
      <c r="L303">
        <v>3.8</v>
      </c>
      <c r="M303">
        <v>3</v>
      </c>
      <c r="N303">
        <v>5</v>
      </c>
      <c r="O303">
        <v>5</v>
      </c>
      <c r="P303">
        <v>4</v>
      </c>
    </row>
    <row r="304" spans="1:16" x14ac:dyDescent="0.3">
      <c r="A304">
        <v>302</v>
      </c>
      <c r="B304" t="s">
        <v>518</v>
      </c>
      <c r="C304" t="s">
        <v>22</v>
      </c>
      <c r="D304" t="s">
        <v>519</v>
      </c>
      <c r="E304">
        <v>39.96</v>
      </c>
      <c r="F304">
        <v>-83</v>
      </c>
      <c r="G304" t="s">
        <v>24</v>
      </c>
      <c r="H304" t="s">
        <v>20</v>
      </c>
      <c r="I304">
        <v>20</v>
      </c>
      <c r="J304">
        <v>3.6</v>
      </c>
      <c r="K304">
        <v>3.7</v>
      </c>
      <c r="L304">
        <v>3.1</v>
      </c>
      <c r="M304">
        <v>5</v>
      </c>
      <c r="N304">
        <v>4</v>
      </c>
      <c r="O304">
        <v>5</v>
      </c>
      <c r="P304">
        <v>5</v>
      </c>
    </row>
    <row r="305" spans="1:16" x14ac:dyDescent="0.3">
      <c r="A305">
        <v>303</v>
      </c>
      <c r="B305" t="s">
        <v>520</v>
      </c>
      <c r="C305" t="s">
        <v>22</v>
      </c>
      <c r="D305" t="s">
        <v>65</v>
      </c>
      <c r="E305">
        <v>34.049999999999997</v>
      </c>
      <c r="F305">
        <v>-118.24</v>
      </c>
      <c r="G305" t="s">
        <v>19</v>
      </c>
      <c r="H305" t="s">
        <v>20</v>
      </c>
      <c r="I305">
        <v>20</v>
      </c>
      <c r="J305">
        <v>3.6</v>
      </c>
      <c r="K305">
        <v>3.9</v>
      </c>
      <c r="L305">
        <v>4</v>
      </c>
      <c r="M305">
        <v>5</v>
      </c>
      <c r="N305">
        <v>5</v>
      </c>
      <c r="O305">
        <v>5</v>
      </c>
      <c r="P305">
        <v>3</v>
      </c>
    </row>
    <row r="306" spans="1:16" x14ac:dyDescent="0.3">
      <c r="A306">
        <v>304</v>
      </c>
      <c r="B306" t="s">
        <v>521</v>
      </c>
      <c r="C306" t="s">
        <v>22</v>
      </c>
      <c r="D306" t="s">
        <v>65</v>
      </c>
      <c r="E306">
        <v>34.049999999999997</v>
      </c>
      <c r="F306">
        <v>-118.24</v>
      </c>
      <c r="G306" t="s">
        <v>24</v>
      </c>
      <c r="H306" t="s">
        <v>20</v>
      </c>
      <c r="I306">
        <v>20</v>
      </c>
      <c r="J306">
        <v>3.2</v>
      </c>
      <c r="K306">
        <v>3.4</v>
      </c>
      <c r="L306">
        <v>3.9</v>
      </c>
      <c r="M306">
        <v>5</v>
      </c>
      <c r="N306">
        <v>5</v>
      </c>
      <c r="O306">
        <v>5</v>
      </c>
      <c r="P306">
        <v>3</v>
      </c>
    </row>
    <row r="307" spans="1:16" x14ac:dyDescent="0.3">
      <c r="A307">
        <v>305</v>
      </c>
      <c r="B307" t="s">
        <v>522</v>
      </c>
      <c r="C307" t="s">
        <v>22</v>
      </c>
      <c r="D307" t="s">
        <v>26</v>
      </c>
      <c r="E307">
        <v>37.799999999999997</v>
      </c>
      <c r="F307">
        <v>-122.27</v>
      </c>
      <c r="G307" t="s">
        <v>19</v>
      </c>
      <c r="H307" t="s">
        <v>20</v>
      </c>
      <c r="I307">
        <v>23</v>
      </c>
      <c r="J307">
        <v>3</v>
      </c>
      <c r="K307">
        <v>2.8</v>
      </c>
      <c r="L307">
        <v>2.9</v>
      </c>
      <c r="M307">
        <v>5</v>
      </c>
      <c r="N307">
        <v>4</v>
      </c>
      <c r="O307">
        <v>4</v>
      </c>
      <c r="P307">
        <v>5</v>
      </c>
    </row>
    <row r="308" spans="1:16" x14ac:dyDescent="0.3">
      <c r="A308">
        <v>306</v>
      </c>
      <c r="B308" t="s">
        <v>523</v>
      </c>
      <c r="C308" t="s">
        <v>69</v>
      </c>
      <c r="D308" t="s">
        <v>70</v>
      </c>
      <c r="E308">
        <v>43.67</v>
      </c>
      <c r="F308">
        <v>-79.42</v>
      </c>
      <c r="G308" t="s">
        <v>24</v>
      </c>
      <c r="H308" t="s">
        <v>20</v>
      </c>
      <c r="I308">
        <v>21</v>
      </c>
      <c r="J308">
        <v>3.8</v>
      </c>
      <c r="K308">
        <v>3.2</v>
      </c>
      <c r="L308">
        <v>4</v>
      </c>
      <c r="M308">
        <v>5</v>
      </c>
      <c r="N308">
        <v>5</v>
      </c>
      <c r="O308">
        <v>4</v>
      </c>
      <c r="P308">
        <v>5</v>
      </c>
    </row>
  </sheetData>
  <mergeCells count="4">
    <mergeCell ref="Q16:W16"/>
    <mergeCell ref="Q17:W17"/>
    <mergeCell ref="Q20:W20"/>
    <mergeCell ref="Q21:W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v</cp:lastModifiedBy>
  <dcterms:created xsi:type="dcterms:W3CDTF">2026-01-30T18:19:23Z</dcterms:created>
  <dcterms:modified xsi:type="dcterms:W3CDTF">2026-01-30T18:19:23Z</dcterms:modified>
</cp:coreProperties>
</file>