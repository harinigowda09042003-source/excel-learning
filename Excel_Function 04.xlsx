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ff249834153ad6/Desktop/"/>
    </mc:Choice>
  </mc:AlternateContent>
  <xr:revisionPtr revIDLastSave="203" documentId="11_F25DC773A252ABDACC1048DCE1DA41DC5BDE58E5" xr6:coauthVersionLast="47" xr6:coauthVersionMax="47" xr10:uidLastSave="{47075B6A-D326-47D6-8292-F0BA8555DB3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J8" i="1"/>
  <c r="A14" i="1"/>
  <c r="A11" i="1"/>
  <c r="E11" i="1"/>
  <c r="F11" i="1" s="1"/>
  <c r="E6" i="1"/>
  <c r="F6" i="1" s="1"/>
  <c r="E3" i="1"/>
  <c r="K4" i="1"/>
  <c r="K5" i="1" s="1"/>
  <c r="A5" i="1"/>
  <c r="A8" i="1"/>
  <c r="A2" i="1"/>
  <c r="H11" i="1" l="1"/>
  <c r="G11" i="1"/>
  <c r="H6" i="1"/>
  <c r="G6" i="1"/>
</calcChain>
</file>

<file path=xl/sharedStrings.xml><?xml version="1.0" encoding="utf-8"?>
<sst xmlns="http://schemas.openxmlformats.org/spreadsheetml/2006/main" count="47" uniqueCount="47">
  <si>
    <t>IT DEFINES TODAY'S DATE AS</t>
  </si>
  <si>
    <t>PER YOUR SYSTEM</t>
  </si>
  <si>
    <t xml:space="preserve">IT DEFINES TODAY'S DATE </t>
  </si>
  <si>
    <t>AND TIME</t>
  </si>
  <si>
    <t>IT DEFINES A TIME</t>
  </si>
  <si>
    <t>HOURS,MINUTE,SECOND</t>
  </si>
  <si>
    <t>DATE DIF</t>
  </si>
  <si>
    <t>TODAY FUNCTION</t>
  </si>
  <si>
    <t>NOW FUNCTION</t>
  </si>
  <si>
    <t>TIME FUNCTION</t>
  </si>
  <si>
    <t>AGE CALCULATION</t>
  </si>
  <si>
    <t>DATE OF BIRTH</t>
  </si>
  <si>
    <t>TODAY'S DATE</t>
  </si>
  <si>
    <t>YEARFRAC FUNCTION</t>
  </si>
  <si>
    <t>YEARFRAC</t>
  </si>
  <si>
    <t xml:space="preserve">IT RETURNS THE YEAR </t>
  </si>
  <si>
    <t>TO END DATE</t>
  </si>
  <si>
    <t>FRACTION FROM START DATE</t>
  </si>
  <si>
    <t>START DATE,END DATE,BASIC</t>
  </si>
  <si>
    <t>WEEKDAY FUNCTION</t>
  </si>
  <si>
    <t>THIS FUNCTION RETURNS THE PRESENT DAY</t>
  </si>
  <si>
    <t>IT GOES THROUGH SERIAL NUMBER WITH</t>
  </si>
  <si>
    <t>RETURN TYPE</t>
  </si>
  <si>
    <t>DAY,MONTH,YEAR</t>
  </si>
  <si>
    <t>DAY</t>
  </si>
  <si>
    <t>MONTH</t>
  </si>
  <si>
    <t>YEAR</t>
  </si>
  <si>
    <t>THIS FUNCTIONS RETURNS THE DAY MONTH AND YEAR BASED ON</t>
  </si>
  <si>
    <t xml:space="preserve">TODAY FUNCTION </t>
  </si>
  <si>
    <t>HOUR,MINUTE,SECOND</t>
  </si>
  <si>
    <t>HOUR</t>
  </si>
  <si>
    <t>MINUTE</t>
  </si>
  <si>
    <t>SECOND</t>
  </si>
  <si>
    <t xml:space="preserve">ON NOW FUNCTION </t>
  </si>
  <si>
    <t xml:space="preserve">THIS FUNCTIONS RETURNS THE HOUR MINUTE AND SECOND BASED </t>
  </si>
  <si>
    <t>EOMONTH FUNCTION</t>
  </si>
  <si>
    <t>RETURNS THE SERIAL NUMBER</t>
  </si>
  <si>
    <t>FOR THE LAST DAY OF MONTH</t>
  </si>
  <si>
    <t>WEEKNUM</t>
  </si>
  <si>
    <t>RETURNS THE WEEK NUMBER</t>
  </si>
  <si>
    <t xml:space="preserve">IN A YEAR ITS FEB SO IN 2026 </t>
  </si>
  <si>
    <t>NETWORKDAYS</t>
  </si>
  <si>
    <t>RETURNS NO OF WHOLE WORKING DAYS EXCLUDES</t>
  </si>
  <si>
    <t>WEEKENDS AND HOLIDAYS BETWEEN TWO DATES</t>
  </si>
  <si>
    <t>WORKDAYS</t>
  </si>
  <si>
    <t>RETUENS THE WORKING DAYS</t>
  </si>
  <si>
    <t>USED FOR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</si>
</sst>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18" fontId="0" fillId="0" borderId="1" xfId="0" applyNumberForma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0" xfId="0" applyFont="1" applyBorder="1"/>
    <xf numFmtId="0" fontId="1" fillId="0" borderId="9" xfId="0" applyFont="1" applyBorder="1"/>
    <xf numFmtId="0" fontId="0" fillId="0" borderId="2" xfId="0" applyBorder="1"/>
    <xf numFmtId="0" fontId="0" fillId="2" borderId="1" xfId="0" applyFill="1" applyBorder="1"/>
    <xf numFmtId="0" fontId="1" fillId="0" borderId="8" xfId="0" applyFont="1" applyBorder="1"/>
    <xf numFmtId="0" fontId="1" fillId="0" borderId="5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16" sqref="D16"/>
    </sheetView>
  </sheetViews>
  <sheetFormatPr defaultRowHeight="14.4" x14ac:dyDescent="0.3"/>
  <cols>
    <col min="1" max="1" width="20.77734375" customWidth="1"/>
    <col min="2" max="2" width="10.33203125" bestFit="1" customWidth="1"/>
    <col min="3" max="3" width="16.88671875" customWidth="1"/>
    <col min="4" max="4" width="18.44140625" customWidth="1"/>
    <col min="5" max="5" width="20" customWidth="1"/>
    <col min="6" max="6" width="9.44140625" customWidth="1"/>
    <col min="7" max="7" width="9.21875" customWidth="1"/>
    <col min="8" max="8" width="18.21875" customWidth="1"/>
    <col min="10" max="10" width="18.33203125" customWidth="1"/>
    <col min="11" max="11" width="13.77734375" customWidth="1"/>
    <col min="13" max="13" width="20.77734375" customWidth="1"/>
  </cols>
  <sheetData>
    <row r="1" spans="1:13" x14ac:dyDescent="0.3">
      <c r="A1" s="22" t="s">
        <v>7</v>
      </c>
      <c r="B1" s="6" t="s">
        <v>0</v>
      </c>
      <c r="C1" s="7"/>
      <c r="E1" s="22" t="s">
        <v>19</v>
      </c>
      <c r="F1" s="23" t="s">
        <v>20</v>
      </c>
      <c r="G1" s="23"/>
      <c r="H1" s="24"/>
      <c r="J1" s="22" t="s">
        <v>13</v>
      </c>
      <c r="K1" s="2"/>
      <c r="L1" s="16"/>
      <c r="M1" s="1"/>
    </row>
    <row r="2" spans="1:13" x14ac:dyDescent="0.3">
      <c r="A2" s="3">
        <f ca="1">TODAY()</f>
        <v>46056</v>
      </c>
      <c r="B2" s="8" t="s">
        <v>1</v>
      </c>
      <c r="C2" s="9"/>
      <c r="E2" s="2"/>
      <c r="F2" s="25" t="s">
        <v>21</v>
      </c>
      <c r="G2" s="25"/>
      <c r="H2" s="26"/>
      <c r="J2" s="17" t="s">
        <v>10</v>
      </c>
      <c r="K2" s="17" t="s">
        <v>6</v>
      </c>
      <c r="L2" s="14" t="s">
        <v>15</v>
      </c>
      <c r="M2" s="15"/>
    </row>
    <row r="3" spans="1:13" x14ac:dyDescent="0.3">
      <c r="E3" s="2">
        <f>WEEKDAY(3,2)</f>
        <v>2</v>
      </c>
      <c r="F3" s="27" t="s">
        <v>22</v>
      </c>
      <c r="G3" s="27"/>
      <c r="H3" s="28"/>
      <c r="J3" s="2" t="s">
        <v>11</v>
      </c>
      <c r="K3" s="3">
        <v>37720</v>
      </c>
      <c r="L3" s="14" t="s">
        <v>17</v>
      </c>
      <c r="M3" s="15"/>
    </row>
    <row r="4" spans="1:13" x14ac:dyDescent="0.3">
      <c r="A4" s="22" t="s">
        <v>8</v>
      </c>
      <c r="B4" s="6" t="s">
        <v>2</v>
      </c>
      <c r="C4" s="7"/>
      <c r="J4" s="2" t="s">
        <v>12</v>
      </c>
      <c r="K4" s="3">
        <f ca="1">TODAY()</f>
        <v>46056</v>
      </c>
      <c r="L4" s="14" t="s">
        <v>16</v>
      </c>
      <c r="M4" s="15"/>
    </row>
    <row r="5" spans="1:13" x14ac:dyDescent="0.3">
      <c r="A5" s="4">
        <f ca="1">NOW()</f>
        <v>46056.913846875002</v>
      </c>
      <c r="B5" s="10" t="s">
        <v>3</v>
      </c>
      <c r="C5" s="11"/>
      <c r="E5" s="22" t="s">
        <v>23</v>
      </c>
      <c r="F5" s="22" t="s">
        <v>24</v>
      </c>
      <c r="G5" s="22" t="s">
        <v>25</v>
      </c>
      <c r="H5" s="22" t="s">
        <v>26</v>
      </c>
      <c r="J5" s="20" t="s">
        <v>14</v>
      </c>
      <c r="K5" s="20">
        <f ca="1">YEARFRAC(K3,K4,1)</f>
        <v>22.822724161533195</v>
      </c>
      <c r="L5" s="10" t="s">
        <v>18</v>
      </c>
      <c r="M5" s="11"/>
    </row>
    <row r="6" spans="1:13" x14ac:dyDescent="0.3">
      <c r="E6" s="3">
        <f ca="1">TODAY()</f>
        <v>46056</v>
      </c>
      <c r="F6" s="20">
        <f ca="1">DAY(E6)</f>
        <v>3</v>
      </c>
      <c r="G6" s="20">
        <f ca="1">MONTH(E6)</f>
        <v>2</v>
      </c>
      <c r="H6" s="20">
        <f ca="1">YEAR(E6)</f>
        <v>2026</v>
      </c>
    </row>
    <row r="7" spans="1:13" x14ac:dyDescent="0.3">
      <c r="A7" s="22" t="s">
        <v>9</v>
      </c>
      <c r="B7" s="12" t="s">
        <v>4</v>
      </c>
      <c r="C7" s="13"/>
      <c r="E7" s="29" t="s">
        <v>27</v>
      </c>
      <c r="F7" s="25"/>
      <c r="G7" s="25"/>
      <c r="H7" s="26"/>
      <c r="J7" s="22" t="s">
        <v>41</v>
      </c>
      <c r="K7" s="30" t="s">
        <v>42</v>
      </c>
      <c r="L7" s="30"/>
      <c r="M7" s="31"/>
    </row>
    <row r="8" spans="1:13" x14ac:dyDescent="0.3">
      <c r="A8" s="5">
        <f>TIME(20,45,30)</f>
        <v>0.86493055555555554</v>
      </c>
      <c r="B8" s="10" t="s">
        <v>5</v>
      </c>
      <c r="C8" s="11"/>
      <c r="E8" s="19" t="s">
        <v>28</v>
      </c>
      <c r="F8" s="8"/>
      <c r="G8" s="8"/>
      <c r="H8" s="9"/>
      <c r="J8" s="2">
        <f>NETWORKDAYS("01-01-2025","31-12-2025")</f>
        <v>261</v>
      </c>
      <c r="K8" s="32" t="s">
        <v>43</v>
      </c>
      <c r="L8" s="32"/>
      <c r="M8" s="33"/>
    </row>
    <row r="10" spans="1:13" x14ac:dyDescent="0.3">
      <c r="A10" s="22" t="s">
        <v>35</v>
      </c>
      <c r="B10" s="12" t="s">
        <v>36</v>
      </c>
      <c r="C10" s="13"/>
      <c r="E10" s="22" t="s">
        <v>29</v>
      </c>
      <c r="F10" s="22" t="s">
        <v>30</v>
      </c>
      <c r="G10" s="22" t="s">
        <v>31</v>
      </c>
      <c r="H10" s="22" t="s">
        <v>32</v>
      </c>
    </row>
    <row r="11" spans="1:13" x14ac:dyDescent="0.3">
      <c r="A11" s="2">
        <f>EOMONTH(K3,5)</f>
        <v>37894</v>
      </c>
      <c r="B11" s="10" t="s">
        <v>37</v>
      </c>
      <c r="C11" s="11"/>
      <c r="E11" s="4">
        <f ca="1">NOW()</f>
        <v>46056.913846875002</v>
      </c>
      <c r="F11" s="21">
        <f ca="1">HOUR(E11)</f>
        <v>21</v>
      </c>
      <c r="G11" s="21">
        <f ca="1">MINUTE(E11)</f>
        <v>55</v>
      </c>
      <c r="H11" s="21">
        <f ca="1">SECOND(E11)</f>
        <v>56</v>
      </c>
    </row>
    <row r="12" spans="1:13" x14ac:dyDescent="0.3">
      <c r="E12" s="18" t="s">
        <v>34</v>
      </c>
      <c r="F12" s="14"/>
      <c r="G12" s="14"/>
      <c r="H12" s="15"/>
    </row>
    <row r="13" spans="1:13" x14ac:dyDescent="0.3">
      <c r="A13" s="22" t="s">
        <v>38</v>
      </c>
      <c r="B13" s="12" t="s">
        <v>39</v>
      </c>
      <c r="C13" s="13"/>
      <c r="E13" s="19" t="s">
        <v>33</v>
      </c>
      <c r="F13" s="8"/>
      <c r="G13" s="8"/>
      <c r="H13" s="9"/>
    </row>
    <row r="14" spans="1:13" x14ac:dyDescent="0.3">
      <c r="A14" s="2">
        <f ca="1">WEEKNUM(TODAY(),2)</f>
        <v>6</v>
      </c>
      <c r="B14" s="10" t="s">
        <v>40</v>
      </c>
      <c r="C14" s="11"/>
    </row>
    <row r="16" spans="1:13" x14ac:dyDescent="0.3">
      <c r="A16" s="22" t="s">
        <v>44</v>
      </c>
      <c r="B16" s="12" t="s">
        <v>45</v>
      </c>
      <c r="C16" s="13"/>
    </row>
    <row r="17" spans="1:3" x14ac:dyDescent="0.3">
      <c r="A17" s="2">
        <f>WORKDAY("01-01-2025","31-12-2025")</f>
        <v>110088</v>
      </c>
      <c r="B17" s="10" t="s">
        <v>46</v>
      </c>
      <c r="C17" s="11"/>
    </row>
  </sheetData>
  <mergeCells count="22">
    <mergeCell ref="B16:C16"/>
    <mergeCell ref="B17:C17"/>
    <mergeCell ref="B10:C10"/>
    <mergeCell ref="B11:C11"/>
    <mergeCell ref="B13:C13"/>
    <mergeCell ref="B14:C14"/>
    <mergeCell ref="K7:M7"/>
    <mergeCell ref="K8:M8"/>
    <mergeCell ref="E8:H8"/>
    <mergeCell ref="E12:H12"/>
    <mergeCell ref="E13:H13"/>
    <mergeCell ref="L2:M2"/>
    <mergeCell ref="L3:M3"/>
    <mergeCell ref="L4:M4"/>
    <mergeCell ref="L5:M5"/>
    <mergeCell ref="L1:M1"/>
    <mergeCell ref="B1:C1"/>
    <mergeCell ref="B2:C2"/>
    <mergeCell ref="B4:C4"/>
    <mergeCell ref="B5:C5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v</cp:lastModifiedBy>
  <dcterms:created xsi:type="dcterms:W3CDTF">2015-06-05T18:17:20Z</dcterms:created>
  <dcterms:modified xsi:type="dcterms:W3CDTF">2026-02-03T16:26:13Z</dcterms:modified>
</cp:coreProperties>
</file>