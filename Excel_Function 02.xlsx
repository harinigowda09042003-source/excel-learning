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7ff249834153ad6/Desktop/"/>
    </mc:Choice>
  </mc:AlternateContent>
  <xr:revisionPtr revIDLastSave="467" documentId="11_F25DC773A252ABDACC1048DCE1DA41DC5BDE58E5" xr6:coauthVersionLast="47" xr6:coauthVersionMax="47" xr10:uidLastSave="{7ED4AA35-A50B-4647-A92B-65BC6C648529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3" l="1"/>
  <c r="C8" i="3"/>
  <c r="C26" i="2"/>
  <c r="C27" i="2"/>
  <c r="C28" i="2"/>
  <c r="C29" i="2"/>
  <c r="C30" i="2"/>
  <c r="C25" i="2"/>
  <c r="C18" i="2"/>
  <c r="C19" i="2"/>
  <c r="C20" i="2"/>
  <c r="C21" i="2"/>
  <c r="C22" i="2"/>
  <c r="C17" i="2"/>
  <c r="A13" i="2"/>
  <c r="A12" i="2"/>
  <c r="F2" i="2"/>
  <c r="F3" i="2"/>
  <c r="F4" i="2"/>
  <c r="F5" i="2"/>
  <c r="F6" i="2"/>
  <c r="F7" i="2"/>
  <c r="F8" i="2"/>
  <c r="E3" i="2"/>
  <c r="E4" i="2"/>
  <c r="E5" i="2"/>
  <c r="E6" i="2"/>
  <c r="E7" i="2"/>
  <c r="E8" i="2"/>
  <c r="E2" i="2"/>
  <c r="D27" i="1"/>
  <c r="C19" i="1"/>
  <c r="C9" i="1"/>
</calcChain>
</file>

<file path=xl/sharedStrings.xml><?xml version="1.0" encoding="utf-8"?>
<sst xmlns="http://schemas.openxmlformats.org/spreadsheetml/2006/main" count="207" uniqueCount="80">
  <si>
    <t>FIRST NAME</t>
  </si>
  <si>
    <t>LAST NAME</t>
  </si>
  <si>
    <t>DEPARTMENT</t>
  </si>
  <si>
    <t>CITY</t>
  </si>
  <si>
    <t>HIRED DATE</t>
  </si>
  <si>
    <t>John</t>
  </si>
  <si>
    <t>Mark</t>
  </si>
  <si>
    <t>Sam</t>
  </si>
  <si>
    <t>Alice</t>
  </si>
  <si>
    <t>Marry</t>
  </si>
  <si>
    <t>Jakson</t>
  </si>
  <si>
    <t>Spencer</t>
  </si>
  <si>
    <t>Cellar</t>
  </si>
  <si>
    <t>Nicolas</t>
  </si>
  <si>
    <t>Wonder</t>
  </si>
  <si>
    <t>Kom</t>
  </si>
  <si>
    <t>Kim</t>
  </si>
  <si>
    <t xml:space="preserve">Information </t>
  </si>
  <si>
    <t>Taxes</t>
  </si>
  <si>
    <t>Human Resources</t>
  </si>
  <si>
    <t>Finance</t>
  </si>
  <si>
    <t>Product Management</t>
  </si>
  <si>
    <t>Designing</t>
  </si>
  <si>
    <t>Oklahoma</t>
  </si>
  <si>
    <t>Tokyo</t>
  </si>
  <si>
    <t>New York City</t>
  </si>
  <si>
    <t>Seoul</t>
  </si>
  <si>
    <t>France</t>
  </si>
  <si>
    <t>Brazil</t>
  </si>
  <si>
    <t xml:space="preserve">V LOOKUP=VERTICAL LOOKUP VALUE </t>
  </si>
  <si>
    <t>Vlookup(lookup_value,table array,col_index,[range])</t>
  </si>
  <si>
    <t>EX : MARRY'S CITY</t>
  </si>
  <si>
    <t>lookup_value = marry[B9] , table array = entire table[A1:E7]</t>
  </si>
  <si>
    <t xml:space="preserve"> ,col_index = city[4] , range = excat match[false]</t>
  </si>
  <si>
    <t xml:space="preserve">always looks table from left to right </t>
  </si>
  <si>
    <t xml:space="preserve">                           the value should be extremely left of the table</t>
  </si>
  <si>
    <t>LOOKUP VALUE</t>
  </si>
  <si>
    <t>Lookup(lookup_value,lookup_vector,[result_vector])</t>
  </si>
  <si>
    <t>the column has to be sorted into ascending order</t>
  </si>
  <si>
    <t>always looks table from right to left</t>
  </si>
  <si>
    <t>the lookup value should be to the extreme right</t>
  </si>
  <si>
    <t>HORIZONTAL LOOKUP VALUE</t>
  </si>
  <si>
    <t>Hlookup_value(lookup_value,table array,row_index,[range])</t>
  </si>
  <si>
    <t>the values has to be in a horizontal table</t>
  </si>
  <si>
    <t>STUDENT_NAME</t>
  </si>
  <si>
    <t>TEST_01</t>
  </si>
  <si>
    <t>TEST_02</t>
  </si>
  <si>
    <t>TEST_03</t>
  </si>
  <si>
    <t>Arjun</t>
  </si>
  <si>
    <t>Bhavani</t>
  </si>
  <si>
    <t>Chandana</t>
  </si>
  <si>
    <t>Dhanush</t>
  </si>
  <si>
    <t>Evana</t>
  </si>
  <si>
    <t>Fathima</t>
  </si>
  <si>
    <t>Gagan</t>
  </si>
  <si>
    <t>TOTAL_SCORE</t>
  </si>
  <si>
    <t>RESULT</t>
  </si>
  <si>
    <t>checks if given condition is satisfied or not</t>
  </si>
  <si>
    <t>returns TRUE if satisfied else returns FALSE</t>
  </si>
  <si>
    <t>if(logical_test,[value_if_true],[value_if_false])</t>
  </si>
  <si>
    <t>SINCE WE HAVE TWO CONDITIONS TO SATISFY WE USE AND FUNCTION</t>
  </si>
  <si>
    <t>IF THE STUDENT HAS SCORED MORE THAN 85 IN TEST 01 AND TEST 03 THAN THE STUDENT IS CONSIDERED AS RANK STUDENT</t>
  </si>
  <si>
    <t>Manager</t>
  </si>
  <si>
    <t>CEO</t>
  </si>
  <si>
    <t>IFNA FUNCTION</t>
  </si>
  <si>
    <t xml:space="preserve">Returns the value that specified to any value or result </t>
  </si>
  <si>
    <t>expression of #N/A or customized</t>
  </si>
  <si>
    <t>ifna(value,"value_if_na")</t>
  </si>
  <si>
    <t>use vlookup since it reads values from left to right</t>
  </si>
  <si>
    <t>VALUES_01</t>
  </si>
  <si>
    <t>VALUES_02</t>
  </si>
  <si>
    <t>IF ERROR RESULT</t>
  </si>
  <si>
    <t xml:space="preserve">Returns the value refference of a cell at a intersection of a </t>
  </si>
  <si>
    <t>particular rows and columns in a given range</t>
  </si>
  <si>
    <t>index(array,row_num,col_num)</t>
  </si>
  <si>
    <t>returns the relative function of a item in a array that matches</t>
  </si>
  <si>
    <t>a specified value</t>
  </si>
  <si>
    <t>match(lookup_value,lookup_array,[match_type])</t>
  </si>
  <si>
    <t>5 - its position of the vlaue that I have given has lookup value</t>
  </si>
  <si>
    <t>it matches and finds its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</si>
</sst>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3" fillId="0" borderId="6" xfId="0" applyFont="1" applyFill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0" fillId="3" borderId="8" xfId="0" applyFill="1" applyBorder="1"/>
    <xf numFmtId="0" fontId="2" fillId="0" borderId="0" xfId="0" applyFont="1"/>
    <xf numFmtId="0" fontId="2" fillId="0" borderId="0" xfId="0" applyFont="1" applyBorder="1"/>
    <xf numFmtId="0" fontId="2" fillId="0" borderId="6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/>
    <xf numFmtId="0" fontId="0" fillId="7" borderId="1" xfId="0" applyFill="1" applyBorder="1"/>
    <xf numFmtId="0" fontId="4" fillId="0" borderId="5" xfId="0" applyFont="1" applyBorder="1"/>
    <xf numFmtId="0" fontId="4" fillId="0" borderId="0" xfId="0" applyFont="1" applyBorder="1"/>
    <xf numFmtId="0" fontId="4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zoomScale="90" workbookViewId="0">
      <selection sqref="A1:E7"/>
    </sheetView>
  </sheetViews>
  <sheetFormatPr defaultRowHeight="14.4" x14ac:dyDescent="0.3"/>
  <cols>
    <col min="1" max="1" width="17.109375" customWidth="1"/>
    <col min="2" max="2" width="14.44140625" customWidth="1"/>
    <col min="3" max="3" width="24.6640625" customWidth="1"/>
    <col min="4" max="4" width="15.77734375" customWidth="1"/>
    <col min="5" max="5" width="14.6640625" customWidth="1"/>
    <col min="6" max="6" width="25" customWidth="1"/>
    <col min="7" max="7" width="20.5546875" customWidth="1"/>
    <col min="12" max="12" width="14.88671875" customWidth="1"/>
  </cols>
  <sheetData>
    <row r="1" spans="1:12" ht="18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/>
      <c r="G1" s="1"/>
      <c r="H1" s="1"/>
      <c r="I1" s="1"/>
      <c r="J1" s="1"/>
      <c r="K1" s="1"/>
      <c r="L1" s="2"/>
    </row>
    <row r="2" spans="1:12" ht="18" x14ac:dyDescent="0.3">
      <c r="A2" s="12" t="s">
        <v>5</v>
      </c>
      <c r="B2" s="12" t="s">
        <v>11</v>
      </c>
      <c r="C2" s="12" t="s">
        <v>17</v>
      </c>
      <c r="D2" s="12" t="s">
        <v>23</v>
      </c>
      <c r="E2" s="13">
        <v>40034</v>
      </c>
      <c r="F2" s="19" t="s">
        <v>29</v>
      </c>
      <c r="G2" s="19"/>
      <c r="H2" s="19"/>
      <c r="I2" s="19"/>
      <c r="J2" s="19"/>
      <c r="K2" s="19"/>
      <c r="L2" s="20"/>
    </row>
    <row r="3" spans="1:12" ht="18" x14ac:dyDescent="0.3">
      <c r="A3" s="12" t="s">
        <v>6</v>
      </c>
      <c r="B3" s="12" t="s">
        <v>12</v>
      </c>
      <c r="C3" s="12" t="s">
        <v>18</v>
      </c>
      <c r="D3" s="12" t="s">
        <v>24</v>
      </c>
      <c r="E3" s="13">
        <v>39157</v>
      </c>
      <c r="F3" s="19" t="s">
        <v>30</v>
      </c>
      <c r="G3" s="19"/>
      <c r="H3" s="19"/>
      <c r="I3" s="19"/>
      <c r="J3" s="19"/>
      <c r="K3" s="19"/>
      <c r="L3" s="20"/>
    </row>
    <row r="4" spans="1:12" ht="18" x14ac:dyDescent="0.3">
      <c r="A4" s="12" t="s">
        <v>7</v>
      </c>
      <c r="B4" s="12" t="s">
        <v>13</v>
      </c>
      <c r="C4" s="12" t="s">
        <v>19</v>
      </c>
      <c r="D4" s="12" t="s">
        <v>25</v>
      </c>
      <c r="E4" s="13">
        <v>43804</v>
      </c>
      <c r="F4" s="19" t="s">
        <v>31</v>
      </c>
      <c r="G4" s="19"/>
      <c r="H4" s="19"/>
      <c r="I4" s="19"/>
      <c r="J4" s="19"/>
      <c r="K4" s="19"/>
      <c r="L4" s="20"/>
    </row>
    <row r="5" spans="1:12" ht="18" x14ac:dyDescent="0.3">
      <c r="A5" s="12" t="s">
        <v>8</v>
      </c>
      <c r="B5" s="12" t="s">
        <v>14</v>
      </c>
      <c r="C5" s="12" t="s">
        <v>20</v>
      </c>
      <c r="D5" s="12" t="s">
        <v>28</v>
      </c>
      <c r="E5" s="13">
        <v>43419</v>
      </c>
      <c r="F5" s="19" t="s">
        <v>32</v>
      </c>
      <c r="G5" s="19"/>
      <c r="H5" s="19"/>
      <c r="I5" s="19"/>
      <c r="J5" s="19"/>
      <c r="K5" s="19"/>
      <c r="L5" s="20"/>
    </row>
    <row r="6" spans="1:12" ht="18" x14ac:dyDescent="0.3">
      <c r="A6" s="12" t="s">
        <v>9</v>
      </c>
      <c r="B6" s="12" t="s">
        <v>15</v>
      </c>
      <c r="C6" s="12" t="s">
        <v>21</v>
      </c>
      <c r="D6" s="12" t="s">
        <v>27</v>
      </c>
      <c r="E6" s="13">
        <v>44834</v>
      </c>
      <c r="F6" s="19" t="s">
        <v>33</v>
      </c>
      <c r="G6" s="19"/>
      <c r="H6" s="19"/>
      <c r="I6" s="19"/>
      <c r="J6" s="19"/>
      <c r="K6" s="19"/>
      <c r="L6" s="20"/>
    </row>
    <row r="7" spans="1:12" ht="18" x14ac:dyDescent="0.3">
      <c r="A7" s="12" t="s">
        <v>10</v>
      </c>
      <c r="B7" s="12" t="s">
        <v>16</v>
      </c>
      <c r="C7" s="12" t="s">
        <v>22</v>
      </c>
      <c r="D7" s="12" t="s">
        <v>26</v>
      </c>
      <c r="E7" s="13">
        <v>45382</v>
      </c>
      <c r="F7" s="28" t="s">
        <v>34</v>
      </c>
      <c r="G7" s="28"/>
      <c r="H7" s="28"/>
      <c r="I7" s="28"/>
      <c r="J7" s="28"/>
      <c r="K7" s="28"/>
      <c r="L7" s="28"/>
    </row>
    <row r="8" spans="1:12" x14ac:dyDescent="0.3">
      <c r="A8" s="14"/>
      <c r="B8" s="14"/>
      <c r="C8" s="14"/>
      <c r="D8" s="14"/>
      <c r="E8" s="14"/>
      <c r="F8" s="30" t="s">
        <v>35</v>
      </c>
      <c r="G8" s="3"/>
      <c r="H8" s="3"/>
      <c r="I8" s="3"/>
      <c r="J8" s="3"/>
      <c r="K8" s="3"/>
      <c r="L8" s="4"/>
    </row>
    <row r="9" spans="1:12" ht="18" x14ac:dyDescent="0.3">
      <c r="A9" s="14"/>
      <c r="B9" s="15" t="s">
        <v>9</v>
      </c>
      <c r="C9" s="16" t="str">
        <f>VLOOKUP(B9,A1:E7,4,FALSE)</f>
        <v>France</v>
      </c>
      <c r="D9" s="14"/>
      <c r="E9" s="14"/>
      <c r="F9" s="26"/>
      <c r="G9" s="25"/>
      <c r="H9" s="25"/>
      <c r="I9" s="25"/>
      <c r="J9" s="25"/>
      <c r="K9" s="25"/>
      <c r="L9" s="27"/>
    </row>
    <row r="11" spans="1:12" ht="18" x14ac:dyDescent="0.3">
      <c r="A11" s="11" t="s">
        <v>0</v>
      </c>
      <c r="B11" s="11" t="s">
        <v>1</v>
      </c>
      <c r="C11" s="11" t="s">
        <v>2</v>
      </c>
      <c r="D11" s="11" t="s">
        <v>3</v>
      </c>
      <c r="E11" s="11" t="s">
        <v>4</v>
      </c>
      <c r="F11" s="33"/>
      <c r="G11" s="34"/>
      <c r="H11" s="34"/>
      <c r="I11" s="34"/>
      <c r="J11" s="34"/>
      <c r="K11" s="34"/>
      <c r="L11" s="35"/>
    </row>
    <row r="12" spans="1:12" ht="18" x14ac:dyDescent="0.3">
      <c r="A12" s="12" t="s">
        <v>8</v>
      </c>
      <c r="B12" s="12" t="s">
        <v>14</v>
      </c>
      <c r="C12" s="12" t="s">
        <v>20</v>
      </c>
      <c r="D12" s="12" t="s">
        <v>28</v>
      </c>
      <c r="E12" s="13">
        <v>43419</v>
      </c>
      <c r="F12" s="31" t="s">
        <v>36</v>
      </c>
      <c r="G12" s="32"/>
      <c r="H12" s="32"/>
      <c r="I12" s="32"/>
      <c r="J12" s="32"/>
      <c r="K12" s="32"/>
      <c r="L12" s="36"/>
    </row>
    <row r="13" spans="1:12" ht="18" x14ac:dyDescent="0.3">
      <c r="A13" s="12" t="s">
        <v>10</v>
      </c>
      <c r="B13" s="12" t="s">
        <v>16</v>
      </c>
      <c r="C13" s="12" t="s">
        <v>22</v>
      </c>
      <c r="D13" s="12" t="s">
        <v>26</v>
      </c>
      <c r="E13" s="13">
        <v>45382</v>
      </c>
      <c r="F13" s="31" t="s">
        <v>37</v>
      </c>
      <c r="G13" s="19"/>
      <c r="H13" s="19"/>
      <c r="I13" s="19"/>
      <c r="J13" s="19"/>
      <c r="K13" s="19"/>
      <c r="L13" s="20"/>
    </row>
    <row r="14" spans="1:12" ht="18" x14ac:dyDescent="0.3">
      <c r="A14" s="12" t="s">
        <v>5</v>
      </c>
      <c r="B14" s="12" t="s">
        <v>11</v>
      </c>
      <c r="C14" s="12" t="s">
        <v>17</v>
      </c>
      <c r="D14" s="12" t="s">
        <v>23</v>
      </c>
      <c r="E14" s="13">
        <v>40034</v>
      </c>
      <c r="F14" s="31" t="s">
        <v>38</v>
      </c>
      <c r="G14" s="19"/>
      <c r="H14" s="19"/>
      <c r="I14" s="19"/>
      <c r="J14" s="19"/>
      <c r="K14" s="19"/>
      <c r="L14" s="20"/>
    </row>
    <row r="15" spans="1:12" ht="18" x14ac:dyDescent="0.3">
      <c r="A15" s="12" t="s">
        <v>6</v>
      </c>
      <c r="B15" s="12" t="s">
        <v>12</v>
      </c>
      <c r="C15" s="12" t="s">
        <v>18</v>
      </c>
      <c r="D15" s="12" t="s">
        <v>24</v>
      </c>
      <c r="E15" s="13">
        <v>39157</v>
      </c>
      <c r="F15" s="31" t="s">
        <v>39</v>
      </c>
      <c r="G15" s="19"/>
      <c r="H15" s="19"/>
      <c r="I15" s="19"/>
      <c r="J15" s="19"/>
      <c r="K15" s="19"/>
      <c r="L15" s="20"/>
    </row>
    <row r="16" spans="1:12" ht="18" x14ac:dyDescent="0.3">
      <c r="A16" s="12" t="s">
        <v>9</v>
      </c>
      <c r="B16" s="12" t="s">
        <v>15</v>
      </c>
      <c r="C16" s="12" t="s">
        <v>21</v>
      </c>
      <c r="D16" s="12" t="s">
        <v>27</v>
      </c>
      <c r="E16" s="13">
        <v>44834</v>
      </c>
      <c r="F16" s="31" t="s">
        <v>40</v>
      </c>
      <c r="G16" s="19"/>
      <c r="H16" s="19"/>
      <c r="I16" s="19"/>
      <c r="J16" s="19"/>
      <c r="K16" s="19"/>
      <c r="L16" s="20"/>
    </row>
    <row r="17" spans="1:13" ht="18" x14ac:dyDescent="0.3">
      <c r="A17" s="12" t="s">
        <v>7</v>
      </c>
      <c r="B17" s="12" t="s">
        <v>13</v>
      </c>
      <c r="C17" s="12" t="s">
        <v>19</v>
      </c>
      <c r="D17" s="12" t="s">
        <v>25</v>
      </c>
      <c r="E17" s="13">
        <v>43804</v>
      </c>
      <c r="F17" s="21"/>
      <c r="G17" s="3"/>
      <c r="H17" s="3"/>
      <c r="I17" s="3"/>
      <c r="J17" s="3"/>
      <c r="K17" s="3"/>
      <c r="L17" s="4"/>
    </row>
    <row r="18" spans="1:13" x14ac:dyDescent="0.3">
      <c r="A18" s="5"/>
      <c r="B18" s="6"/>
      <c r="C18" s="6"/>
      <c r="D18" s="6"/>
      <c r="E18" s="6"/>
      <c r="F18" s="22"/>
      <c r="G18" s="22"/>
      <c r="H18" s="22"/>
      <c r="I18" s="22"/>
      <c r="J18" s="22"/>
      <c r="K18" s="22"/>
      <c r="L18" s="24"/>
    </row>
    <row r="19" spans="1:13" ht="18" x14ac:dyDescent="0.3">
      <c r="A19" s="8"/>
      <c r="B19" s="37" t="s">
        <v>7</v>
      </c>
      <c r="C19" s="38" t="str">
        <f>LOOKUP(B19,A12:C17)</f>
        <v>Human Resources</v>
      </c>
      <c r="D19" s="9"/>
      <c r="E19" s="9"/>
      <c r="F19" s="25"/>
      <c r="G19" s="25"/>
      <c r="H19" s="25"/>
      <c r="I19" s="25"/>
      <c r="J19" s="25"/>
      <c r="K19" s="25"/>
      <c r="L19" s="27"/>
    </row>
    <row r="21" spans="1:13" ht="18" x14ac:dyDescent="0.3">
      <c r="A21" s="11" t="s">
        <v>0</v>
      </c>
      <c r="B21" s="12" t="s">
        <v>8</v>
      </c>
      <c r="C21" s="12" t="s">
        <v>10</v>
      </c>
      <c r="D21" s="12" t="s">
        <v>5</v>
      </c>
      <c r="E21" s="12" t="s">
        <v>6</v>
      </c>
      <c r="F21" s="12" t="s">
        <v>9</v>
      </c>
      <c r="G21" s="12" t="s">
        <v>7</v>
      </c>
      <c r="H21" s="42" t="s">
        <v>41</v>
      </c>
      <c r="I21" s="43"/>
      <c r="J21" s="43"/>
      <c r="K21" s="43"/>
      <c r="L21" s="44"/>
      <c r="M21" s="39"/>
    </row>
    <row r="22" spans="1:13" ht="18" x14ac:dyDescent="0.3">
      <c r="A22" s="11" t="s">
        <v>1</v>
      </c>
      <c r="B22" s="12" t="s">
        <v>14</v>
      </c>
      <c r="C22" s="12" t="s">
        <v>16</v>
      </c>
      <c r="D22" s="12" t="s">
        <v>11</v>
      </c>
      <c r="E22" s="12" t="s">
        <v>12</v>
      </c>
      <c r="F22" s="12" t="s">
        <v>15</v>
      </c>
      <c r="G22" s="12" t="s">
        <v>13</v>
      </c>
      <c r="H22" s="30" t="s">
        <v>42</v>
      </c>
      <c r="I22" s="17"/>
      <c r="J22" s="17"/>
      <c r="K22" s="17"/>
      <c r="L22" s="18"/>
      <c r="M22" s="39"/>
    </row>
    <row r="23" spans="1:13" ht="18" x14ac:dyDescent="0.3">
      <c r="A23" s="11" t="s">
        <v>2</v>
      </c>
      <c r="B23" s="12" t="s">
        <v>20</v>
      </c>
      <c r="C23" s="12" t="s">
        <v>22</v>
      </c>
      <c r="D23" s="12" t="s">
        <v>17</v>
      </c>
      <c r="E23" s="12" t="s">
        <v>18</v>
      </c>
      <c r="F23" s="12" t="s">
        <v>21</v>
      </c>
      <c r="G23" s="12" t="s">
        <v>19</v>
      </c>
      <c r="H23" s="30" t="s">
        <v>43</v>
      </c>
      <c r="I23" s="17"/>
      <c r="J23" s="17"/>
      <c r="K23" s="17"/>
      <c r="L23" s="18"/>
      <c r="M23" s="39"/>
    </row>
    <row r="24" spans="1:13" ht="18" x14ac:dyDescent="0.3">
      <c r="A24" s="11" t="s">
        <v>3</v>
      </c>
      <c r="B24" s="12" t="s">
        <v>28</v>
      </c>
      <c r="C24" s="12" t="s">
        <v>26</v>
      </c>
      <c r="D24" s="12" t="s">
        <v>23</v>
      </c>
      <c r="E24" s="12" t="s">
        <v>24</v>
      </c>
      <c r="F24" s="12" t="s">
        <v>27</v>
      </c>
      <c r="G24" s="12" t="s">
        <v>25</v>
      </c>
      <c r="H24" s="23"/>
      <c r="I24" s="22"/>
      <c r="J24" s="22"/>
      <c r="K24" s="22"/>
      <c r="L24" s="24"/>
    </row>
    <row r="25" spans="1:13" ht="18" x14ac:dyDescent="0.3">
      <c r="A25" s="11" t="s">
        <v>4</v>
      </c>
      <c r="B25" s="13">
        <v>43419</v>
      </c>
      <c r="C25" s="13">
        <v>45382</v>
      </c>
      <c r="D25" s="13">
        <v>40034</v>
      </c>
      <c r="E25" s="13">
        <v>39157</v>
      </c>
      <c r="F25" s="13">
        <v>44834</v>
      </c>
      <c r="G25" s="13">
        <v>43804</v>
      </c>
      <c r="H25" s="23"/>
      <c r="I25" s="22"/>
      <c r="J25" s="22"/>
      <c r="K25" s="22"/>
      <c r="L25" s="24"/>
    </row>
    <row r="26" spans="1:13" x14ac:dyDescent="0.3">
      <c r="A26" s="5"/>
      <c r="B26" s="6"/>
      <c r="C26" s="6"/>
      <c r="D26" s="6"/>
      <c r="E26" s="6"/>
      <c r="F26" s="6"/>
      <c r="G26" s="6"/>
      <c r="H26" s="22"/>
      <c r="I26" s="22"/>
      <c r="J26" s="22"/>
      <c r="K26" s="22"/>
      <c r="L26" s="24"/>
    </row>
    <row r="27" spans="1:13" ht="18" x14ac:dyDescent="0.3">
      <c r="A27" s="8"/>
      <c r="B27" s="9"/>
      <c r="C27" s="37" t="s">
        <v>5</v>
      </c>
      <c r="D27" s="38" t="str">
        <f>HLOOKUP(C27,A21:G25,4,FALSE)</f>
        <v>Oklahoma</v>
      </c>
      <c r="E27" s="9"/>
      <c r="F27" s="9"/>
      <c r="G27" s="9"/>
      <c r="H27" s="25"/>
      <c r="I27" s="25"/>
      <c r="J27" s="25"/>
      <c r="K27" s="25"/>
      <c r="L27" s="27"/>
    </row>
  </sheetData>
  <sortState xmlns:xlrd2="http://schemas.microsoft.com/office/spreadsheetml/2017/richdata2" ref="A12:E17">
    <sortCondition ref="A11:A17"/>
  </sortState>
  <mergeCells count="24">
    <mergeCell ref="H26:L26"/>
    <mergeCell ref="H27:L27"/>
    <mergeCell ref="F18:L18"/>
    <mergeCell ref="F19:L19"/>
    <mergeCell ref="H21:L21"/>
    <mergeCell ref="H22:L22"/>
    <mergeCell ref="H23:L23"/>
    <mergeCell ref="H24:L24"/>
    <mergeCell ref="H25:L25"/>
    <mergeCell ref="F7:L7"/>
    <mergeCell ref="F11:L11"/>
    <mergeCell ref="F12:L12"/>
    <mergeCell ref="F13:L13"/>
    <mergeCell ref="F14:L14"/>
    <mergeCell ref="F15:L15"/>
    <mergeCell ref="F16:L16"/>
    <mergeCell ref="F17:L17"/>
    <mergeCell ref="F8:L8"/>
    <mergeCell ref="F9:L9"/>
    <mergeCell ref="F2:L2"/>
    <mergeCell ref="F3:L3"/>
    <mergeCell ref="F4:L4"/>
    <mergeCell ref="F5:L5"/>
    <mergeCell ref="F6: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ABDB-8223-4A7D-979E-AA6D623CA57C}">
  <dimension ref="A1:K30"/>
  <sheetViews>
    <sheetView zoomScale="103" workbookViewId="0">
      <selection activeCell="D28" sqref="D28"/>
    </sheetView>
  </sheetViews>
  <sheetFormatPr defaultRowHeight="14.4" x14ac:dyDescent="0.3"/>
  <cols>
    <col min="1" max="1" width="15" customWidth="1"/>
    <col min="2" max="2" width="24.21875" customWidth="1"/>
    <col min="3" max="3" width="18.44140625" customWidth="1"/>
    <col min="4" max="4" width="15.5546875" customWidth="1"/>
    <col min="5" max="5" width="17.21875" customWidth="1"/>
    <col min="6" max="6" width="13.88671875" customWidth="1"/>
    <col min="10" max="10" width="14.5546875" customWidth="1"/>
  </cols>
  <sheetData>
    <row r="1" spans="1:11" x14ac:dyDescent="0.3">
      <c r="A1" s="47" t="s">
        <v>44</v>
      </c>
      <c r="B1" s="47" t="s">
        <v>45</v>
      </c>
      <c r="C1" s="47" t="s">
        <v>46</v>
      </c>
      <c r="D1" s="47" t="s">
        <v>47</v>
      </c>
      <c r="E1" s="47" t="s">
        <v>55</v>
      </c>
      <c r="F1" s="47" t="s">
        <v>56</v>
      </c>
      <c r="G1" s="45"/>
      <c r="H1" s="45"/>
      <c r="I1" s="45"/>
      <c r="J1" s="46"/>
    </row>
    <row r="2" spans="1:11" x14ac:dyDescent="0.3">
      <c r="A2" s="48" t="s">
        <v>48</v>
      </c>
      <c r="B2" s="48">
        <v>90</v>
      </c>
      <c r="C2" s="48">
        <v>78</v>
      </c>
      <c r="D2" s="48">
        <v>91</v>
      </c>
      <c r="E2" s="48">
        <f>SUM(B2:D2)</f>
        <v>259</v>
      </c>
      <c r="F2" s="49" t="str">
        <f>IF(E2&gt;200,"PASS","FAIL")</f>
        <v>PASS</v>
      </c>
      <c r="G2" s="17" t="s">
        <v>57</v>
      </c>
      <c r="H2" s="17"/>
      <c r="I2" s="17"/>
      <c r="J2" s="18"/>
    </row>
    <row r="3" spans="1:11" x14ac:dyDescent="0.3">
      <c r="A3" s="48" t="s">
        <v>49</v>
      </c>
      <c r="B3" s="48">
        <v>87</v>
      </c>
      <c r="C3" s="48">
        <v>65</v>
      </c>
      <c r="D3" s="48">
        <v>82</v>
      </c>
      <c r="E3" s="48">
        <f t="shared" ref="E3:E8" si="0">SUM(B3:D3)</f>
        <v>234</v>
      </c>
      <c r="F3" s="49" t="str">
        <f t="shared" ref="F3:F8" si="1">IF(E3&gt;200,"PASS","FAIL")</f>
        <v>PASS</v>
      </c>
      <c r="G3" s="17" t="s">
        <v>58</v>
      </c>
      <c r="H3" s="17"/>
      <c r="I3" s="17"/>
      <c r="J3" s="18"/>
    </row>
    <row r="4" spans="1:11" x14ac:dyDescent="0.3">
      <c r="A4" s="48" t="s">
        <v>50</v>
      </c>
      <c r="B4" s="48">
        <v>56</v>
      </c>
      <c r="C4" s="48">
        <v>92</v>
      </c>
      <c r="D4" s="48">
        <v>73</v>
      </c>
      <c r="E4" s="48">
        <f t="shared" si="0"/>
        <v>221</v>
      </c>
      <c r="F4" s="49" t="str">
        <f t="shared" si="1"/>
        <v>PASS</v>
      </c>
      <c r="G4" s="17" t="s">
        <v>59</v>
      </c>
      <c r="H4" s="17"/>
      <c r="I4" s="17"/>
      <c r="J4" s="18"/>
    </row>
    <row r="5" spans="1:11" x14ac:dyDescent="0.3">
      <c r="A5" s="48" t="s">
        <v>51</v>
      </c>
      <c r="B5" s="48">
        <v>67</v>
      </c>
      <c r="C5" s="48">
        <v>83</v>
      </c>
      <c r="D5" s="48">
        <v>64</v>
      </c>
      <c r="E5" s="48">
        <f t="shared" si="0"/>
        <v>214</v>
      </c>
      <c r="F5" s="49" t="str">
        <f t="shared" si="1"/>
        <v>PASS</v>
      </c>
      <c r="G5" s="21"/>
      <c r="H5" s="3"/>
      <c r="I5" s="3"/>
      <c r="J5" s="4"/>
    </row>
    <row r="6" spans="1:11" x14ac:dyDescent="0.3">
      <c r="A6" s="48" t="s">
        <v>52</v>
      </c>
      <c r="B6" s="48">
        <v>92</v>
      </c>
      <c r="C6" s="48">
        <v>74</v>
      </c>
      <c r="D6" s="48">
        <v>55</v>
      </c>
      <c r="E6" s="48">
        <f t="shared" si="0"/>
        <v>221</v>
      </c>
      <c r="F6" s="49" t="str">
        <f t="shared" si="1"/>
        <v>PASS</v>
      </c>
      <c r="G6" s="21"/>
      <c r="H6" s="3"/>
      <c r="I6" s="3"/>
      <c r="J6" s="4"/>
    </row>
    <row r="7" spans="1:11" x14ac:dyDescent="0.3">
      <c r="A7" s="48" t="s">
        <v>53</v>
      </c>
      <c r="B7" s="48">
        <v>65</v>
      </c>
      <c r="C7" s="48">
        <v>65</v>
      </c>
      <c r="D7" s="48">
        <v>56</v>
      </c>
      <c r="E7" s="48">
        <f t="shared" si="0"/>
        <v>186</v>
      </c>
      <c r="F7" s="49" t="str">
        <f t="shared" si="1"/>
        <v>FAIL</v>
      </c>
      <c r="G7" s="21"/>
      <c r="H7" s="3"/>
      <c r="I7" s="3"/>
      <c r="J7" s="4"/>
    </row>
    <row r="8" spans="1:11" x14ac:dyDescent="0.3">
      <c r="A8" s="48" t="s">
        <v>54</v>
      </c>
      <c r="B8" s="48">
        <v>56</v>
      </c>
      <c r="C8" s="48">
        <v>45</v>
      </c>
      <c r="D8" s="48">
        <v>47</v>
      </c>
      <c r="E8" s="48">
        <f t="shared" si="0"/>
        <v>148</v>
      </c>
      <c r="F8" s="49" t="str">
        <f t="shared" si="1"/>
        <v>FAIL</v>
      </c>
      <c r="G8" s="51"/>
      <c r="H8" s="50"/>
      <c r="I8" s="50"/>
      <c r="J8" s="52"/>
    </row>
    <row r="10" spans="1:11" x14ac:dyDescent="0.3">
      <c r="A10" s="53" t="s">
        <v>61</v>
      </c>
      <c r="B10" s="54"/>
      <c r="C10" s="54"/>
      <c r="D10" s="54"/>
      <c r="E10" s="54"/>
      <c r="F10" s="54"/>
      <c r="G10" s="54"/>
      <c r="H10" s="54"/>
      <c r="I10" s="54"/>
      <c r="J10" s="54"/>
      <c r="K10" s="55"/>
    </row>
    <row r="11" spans="1:11" x14ac:dyDescent="0.3">
      <c r="A11" s="23" t="s">
        <v>60</v>
      </c>
      <c r="B11" s="22"/>
      <c r="C11" s="22"/>
      <c r="D11" s="22"/>
      <c r="E11" s="22"/>
      <c r="F11" s="22"/>
      <c r="G11" s="22"/>
      <c r="H11" s="22"/>
      <c r="I11" s="22"/>
      <c r="J11" s="22"/>
      <c r="K11" s="24"/>
    </row>
    <row r="12" spans="1:11" x14ac:dyDescent="0.3">
      <c r="A12" s="5" t="str">
        <f>IF(AND(B2&gt;85,D2&gt;85),"RANK STUDENT","NOT A RANK STUDENT")</f>
        <v>RANK STUDENT</v>
      </c>
      <c r="B12" s="6"/>
      <c r="C12" s="6"/>
      <c r="D12" s="6"/>
      <c r="E12" s="6"/>
      <c r="F12" s="6"/>
      <c r="G12" s="6"/>
      <c r="H12" s="6"/>
      <c r="I12" s="6"/>
      <c r="J12" s="6"/>
      <c r="K12" s="7"/>
    </row>
    <row r="13" spans="1:11" x14ac:dyDescent="0.3">
      <c r="A13" s="8" t="str">
        <f>IF(AND(B3&gt;85,D3&gt;85),"RANK STUDENT","NOT A RANK STUDENT")</f>
        <v>NOT A RANK STUDENT</v>
      </c>
      <c r="B13" s="9"/>
      <c r="C13" s="9"/>
      <c r="D13" s="9"/>
      <c r="E13" s="9"/>
      <c r="F13" s="9"/>
      <c r="G13" s="9"/>
      <c r="H13" s="9"/>
      <c r="I13" s="9"/>
      <c r="J13" s="9"/>
      <c r="K13" s="10"/>
    </row>
    <row r="16" spans="1:11" ht="18" x14ac:dyDescent="0.3">
      <c r="A16" s="56" t="s">
        <v>0</v>
      </c>
      <c r="B16" s="56" t="s">
        <v>2</v>
      </c>
      <c r="C16" s="57" t="s">
        <v>64</v>
      </c>
      <c r="D16" s="59"/>
      <c r="E16" s="60"/>
      <c r="F16" s="61"/>
    </row>
    <row r="17" spans="1:6" ht="18" x14ac:dyDescent="0.3">
      <c r="A17" s="12" t="s">
        <v>5</v>
      </c>
      <c r="B17" s="12" t="s">
        <v>17</v>
      </c>
      <c r="C17" s="58" t="str">
        <f>_xlfn.IFNA(VLOOKUP(A17,A16:B22,2,FALSE),"NOT FOUND")</f>
        <v xml:space="preserve">Information </v>
      </c>
      <c r="D17" s="29" t="s">
        <v>65</v>
      </c>
      <c r="E17" s="40"/>
      <c r="F17" s="41"/>
    </row>
    <row r="18" spans="1:6" ht="18" x14ac:dyDescent="0.3">
      <c r="A18" s="12"/>
      <c r="B18" s="12" t="s">
        <v>18</v>
      </c>
      <c r="C18" s="58" t="str">
        <f t="shared" ref="C18:C22" si="2">_xlfn.IFNA(VLOOKUP(A18,A17:B23,2,FALSE),"NOT FOUND")</f>
        <v>NOT FOUND</v>
      </c>
      <c r="D18" s="29" t="s">
        <v>66</v>
      </c>
      <c r="E18" s="40"/>
      <c r="F18" s="41"/>
    </row>
    <row r="19" spans="1:6" ht="18" x14ac:dyDescent="0.3">
      <c r="A19" s="12" t="s">
        <v>7</v>
      </c>
      <c r="B19" s="12" t="s">
        <v>19</v>
      </c>
      <c r="C19" s="58" t="str">
        <f t="shared" si="2"/>
        <v>Human Resources</v>
      </c>
      <c r="D19" s="29" t="s">
        <v>67</v>
      </c>
      <c r="E19" s="40"/>
      <c r="F19" s="41"/>
    </row>
    <row r="20" spans="1:6" ht="18" x14ac:dyDescent="0.3">
      <c r="A20" s="12"/>
      <c r="B20" s="12" t="s">
        <v>62</v>
      </c>
      <c r="C20" s="58" t="str">
        <f t="shared" si="2"/>
        <v>NOT FOUND</v>
      </c>
      <c r="D20" s="29" t="s">
        <v>68</v>
      </c>
      <c r="E20" s="40"/>
      <c r="F20" s="41"/>
    </row>
    <row r="21" spans="1:6" ht="18" x14ac:dyDescent="0.3">
      <c r="A21" s="12"/>
      <c r="B21" s="12" t="s">
        <v>21</v>
      </c>
      <c r="C21" s="58" t="str">
        <f t="shared" si="2"/>
        <v>NOT FOUND</v>
      </c>
      <c r="D21" s="23"/>
      <c r="E21" s="22"/>
      <c r="F21" s="24"/>
    </row>
    <row r="22" spans="1:6" ht="18" x14ac:dyDescent="0.3">
      <c r="A22" s="12" t="s">
        <v>10</v>
      </c>
      <c r="B22" s="12" t="s">
        <v>63</v>
      </c>
      <c r="C22" s="58" t="str">
        <f t="shared" si="2"/>
        <v>CEO</v>
      </c>
      <c r="D22" s="26"/>
      <c r="E22" s="25"/>
      <c r="F22" s="27"/>
    </row>
    <row r="24" spans="1:6" ht="18" x14ac:dyDescent="0.35">
      <c r="A24" s="62" t="s">
        <v>69</v>
      </c>
      <c r="B24" s="56" t="s">
        <v>70</v>
      </c>
      <c r="C24" s="62" t="s">
        <v>71</v>
      </c>
    </row>
    <row r="25" spans="1:6" x14ac:dyDescent="0.3">
      <c r="A25" s="48">
        <v>23</v>
      </c>
      <c r="B25" s="48">
        <v>9</v>
      </c>
      <c r="C25" s="49">
        <f>IFERROR(A25/B25,"ERROR")</f>
        <v>2.5555555555555554</v>
      </c>
    </row>
    <row r="26" spans="1:6" x14ac:dyDescent="0.3">
      <c r="A26" s="48">
        <v>33</v>
      </c>
      <c r="B26" s="48">
        <v>2</v>
      </c>
      <c r="C26" s="49">
        <f t="shared" ref="C26:C30" si="3">IFERROR(A26/B26,"ERROR")</f>
        <v>16.5</v>
      </c>
    </row>
    <row r="27" spans="1:6" x14ac:dyDescent="0.3">
      <c r="A27" s="48">
        <v>56</v>
      </c>
      <c r="B27" s="48">
        <v>5</v>
      </c>
      <c r="C27" s="49">
        <f t="shared" si="3"/>
        <v>11.2</v>
      </c>
    </row>
    <row r="28" spans="1:6" x14ac:dyDescent="0.3">
      <c r="A28" s="48">
        <v>45</v>
      </c>
      <c r="B28" s="48">
        <v>0</v>
      </c>
      <c r="C28" s="49" t="str">
        <f t="shared" si="3"/>
        <v>ERROR</v>
      </c>
    </row>
    <row r="29" spans="1:6" x14ac:dyDescent="0.3">
      <c r="A29" s="48">
        <v>23</v>
      </c>
      <c r="B29" s="48">
        <v>-7</v>
      </c>
      <c r="C29" s="49">
        <f t="shared" si="3"/>
        <v>-3.2857142857142856</v>
      </c>
    </row>
    <row r="30" spans="1:6" x14ac:dyDescent="0.3">
      <c r="A30" s="48">
        <v>23</v>
      </c>
      <c r="B30" s="48">
        <v>-1</v>
      </c>
      <c r="C30" s="49">
        <f t="shared" si="3"/>
        <v>-23</v>
      </c>
    </row>
  </sheetData>
  <mergeCells count="16">
    <mergeCell ref="D19:F19"/>
    <mergeCell ref="D20:F20"/>
    <mergeCell ref="D21:F21"/>
    <mergeCell ref="D22:F22"/>
    <mergeCell ref="G8:J8"/>
    <mergeCell ref="A10:K10"/>
    <mergeCell ref="A11:K11"/>
    <mergeCell ref="D16:F16"/>
    <mergeCell ref="D17:F17"/>
    <mergeCell ref="D18:F18"/>
    <mergeCell ref="G2:J2"/>
    <mergeCell ref="G3:J3"/>
    <mergeCell ref="G4:J4"/>
    <mergeCell ref="G5:J5"/>
    <mergeCell ref="G6:J6"/>
    <mergeCell ref="G7:J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6C64A-3C09-408B-84BD-F1738BB3BA28}">
  <dimension ref="A1:K17"/>
  <sheetViews>
    <sheetView tabSelected="1" workbookViewId="0">
      <selection activeCell="H20" sqref="H20"/>
    </sheetView>
  </sheetViews>
  <sheetFormatPr defaultRowHeight="14.4" x14ac:dyDescent="0.3"/>
  <cols>
    <col min="1" max="2" width="13.88671875" customWidth="1"/>
    <col min="3" max="3" width="23.6640625" customWidth="1"/>
    <col min="4" max="4" width="16.21875" customWidth="1"/>
    <col min="5" max="5" width="15.44140625" customWidth="1"/>
  </cols>
  <sheetData>
    <row r="1" spans="1:11" ht="18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59"/>
      <c r="G1" s="60"/>
      <c r="H1" s="60"/>
      <c r="I1" s="60"/>
      <c r="J1" s="60"/>
      <c r="K1" s="61"/>
    </row>
    <row r="2" spans="1:11" ht="18" x14ac:dyDescent="0.3">
      <c r="A2" s="12" t="s">
        <v>5</v>
      </c>
      <c r="B2" s="12" t="s">
        <v>11</v>
      </c>
      <c r="C2" s="12" t="s">
        <v>17</v>
      </c>
      <c r="D2" s="12" t="s">
        <v>23</v>
      </c>
      <c r="E2" s="13">
        <v>40034</v>
      </c>
      <c r="F2" s="31" t="s">
        <v>72</v>
      </c>
      <c r="G2" s="19"/>
      <c r="H2" s="19"/>
      <c r="I2" s="19"/>
      <c r="J2" s="19"/>
      <c r="K2" s="20"/>
    </row>
    <row r="3" spans="1:11" ht="18" x14ac:dyDescent="0.3">
      <c r="A3" s="12" t="s">
        <v>6</v>
      </c>
      <c r="B3" s="12" t="s">
        <v>12</v>
      </c>
      <c r="C3" s="12" t="s">
        <v>18</v>
      </c>
      <c r="D3" s="12" t="s">
        <v>24</v>
      </c>
      <c r="E3" s="13">
        <v>39157</v>
      </c>
      <c r="F3" s="31" t="s">
        <v>73</v>
      </c>
      <c r="G3" s="19"/>
      <c r="H3" s="19"/>
      <c r="I3" s="19"/>
      <c r="J3" s="19"/>
      <c r="K3" s="20"/>
    </row>
    <row r="4" spans="1:11" ht="18" x14ac:dyDescent="0.3">
      <c r="A4" s="12" t="s">
        <v>7</v>
      </c>
      <c r="B4" s="12" t="s">
        <v>13</v>
      </c>
      <c r="C4" s="12" t="s">
        <v>19</v>
      </c>
      <c r="D4" s="12" t="s">
        <v>25</v>
      </c>
      <c r="E4" s="13">
        <v>43804</v>
      </c>
      <c r="F4" s="31" t="s">
        <v>74</v>
      </c>
      <c r="G4" s="19"/>
      <c r="H4" s="19"/>
      <c r="I4" s="19"/>
      <c r="J4" s="19"/>
      <c r="K4" s="20"/>
    </row>
    <row r="5" spans="1:11" ht="18" x14ac:dyDescent="0.3">
      <c r="A5" s="12" t="s">
        <v>8</v>
      </c>
      <c r="B5" s="12" t="s">
        <v>14</v>
      </c>
      <c r="C5" s="12" t="s">
        <v>20</v>
      </c>
      <c r="D5" s="12" t="s">
        <v>28</v>
      </c>
      <c r="E5" s="13">
        <v>43419</v>
      </c>
      <c r="F5" s="23"/>
      <c r="G5" s="22"/>
      <c r="H5" s="22"/>
      <c r="I5" s="22"/>
      <c r="J5" s="22"/>
      <c r="K5" s="24"/>
    </row>
    <row r="6" spans="1:11" ht="18" x14ac:dyDescent="0.3">
      <c r="A6" s="12" t="s">
        <v>9</v>
      </c>
      <c r="B6" s="12" t="s">
        <v>15</v>
      </c>
      <c r="C6" s="12" t="s">
        <v>21</v>
      </c>
      <c r="D6" s="12" t="s">
        <v>27</v>
      </c>
      <c r="E6" s="13">
        <v>44834</v>
      </c>
      <c r="F6" s="23"/>
      <c r="G6" s="22"/>
      <c r="H6" s="22"/>
      <c r="I6" s="22"/>
      <c r="J6" s="22"/>
      <c r="K6" s="24"/>
    </row>
    <row r="7" spans="1:11" ht="18" x14ac:dyDescent="0.3">
      <c r="A7" s="12" t="s">
        <v>10</v>
      </c>
      <c r="B7" s="12" t="s">
        <v>16</v>
      </c>
      <c r="C7" s="12" t="s">
        <v>22</v>
      </c>
      <c r="D7" s="12" t="s">
        <v>26</v>
      </c>
      <c r="E7" s="13">
        <v>45382</v>
      </c>
      <c r="F7" s="22"/>
      <c r="G7" s="22"/>
      <c r="H7" s="22"/>
      <c r="I7" s="22"/>
      <c r="J7" s="22"/>
      <c r="K7" s="24"/>
    </row>
    <row r="8" spans="1:11" ht="18" x14ac:dyDescent="0.35">
      <c r="A8" s="14"/>
      <c r="B8" s="14"/>
      <c r="C8" s="63" t="str">
        <f>INDEX(A1:E7,4,3)</f>
        <v>Human Resources</v>
      </c>
      <c r="D8" s="14"/>
      <c r="E8" s="14"/>
      <c r="F8" s="25"/>
      <c r="G8" s="25"/>
      <c r="H8" s="25"/>
      <c r="I8" s="25"/>
      <c r="J8" s="25"/>
      <c r="K8" s="27"/>
    </row>
    <row r="10" spans="1:11" ht="18" x14ac:dyDescent="0.3">
      <c r="A10" s="15" t="s">
        <v>0</v>
      </c>
      <c r="B10" s="15" t="s">
        <v>1</v>
      </c>
      <c r="C10" s="15" t="s">
        <v>2</v>
      </c>
      <c r="D10" s="15" t="s">
        <v>3</v>
      </c>
      <c r="E10" s="59"/>
      <c r="F10" s="60"/>
      <c r="G10" s="60"/>
      <c r="H10" s="60"/>
      <c r="I10" s="61"/>
    </row>
    <row r="11" spans="1:11" ht="18" x14ac:dyDescent="0.3">
      <c r="A11" s="12" t="s">
        <v>5</v>
      </c>
      <c r="B11" s="12" t="s">
        <v>11</v>
      </c>
      <c r="C11" s="12" t="s">
        <v>17</v>
      </c>
      <c r="D11" s="12" t="s">
        <v>23</v>
      </c>
      <c r="E11" s="65" t="s">
        <v>75</v>
      </c>
      <c r="F11" s="66"/>
      <c r="G11" s="66"/>
      <c r="H11" s="66"/>
      <c r="I11" s="67"/>
    </row>
    <row r="12" spans="1:11" ht="18" x14ac:dyDescent="0.3">
      <c r="A12" s="12" t="s">
        <v>6</v>
      </c>
      <c r="B12" s="12" t="s">
        <v>12</v>
      </c>
      <c r="C12" s="12" t="s">
        <v>18</v>
      </c>
      <c r="D12" s="12" t="s">
        <v>24</v>
      </c>
      <c r="E12" s="65" t="s">
        <v>76</v>
      </c>
      <c r="F12" s="66"/>
      <c r="G12" s="66"/>
      <c r="H12" s="66"/>
      <c r="I12" s="67"/>
    </row>
    <row r="13" spans="1:11" ht="18" x14ac:dyDescent="0.3">
      <c r="A13" s="12" t="s">
        <v>7</v>
      </c>
      <c r="B13" s="12" t="s">
        <v>13</v>
      </c>
      <c r="C13" s="12" t="s">
        <v>19</v>
      </c>
      <c r="D13" s="12" t="s">
        <v>25</v>
      </c>
      <c r="E13" s="65" t="s">
        <v>77</v>
      </c>
      <c r="F13" s="66"/>
      <c r="G13" s="66"/>
      <c r="H13" s="66"/>
      <c r="I13" s="67"/>
    </row>
    <row r="14" spans="1:11" ht="18" x14ac:dyDescent="0.3">
      <c r="A14" s="12" t="s">
        <v>8</v>
      </c>
      <c r="B14" s="12" t="s">
        <v>14</v>
      </c>
      <c r="C14" s="12" t="s">
        <v>20</v>
      </c>
      <c r="D14" s="12" t="s">
        <v>28</v>
      </c>
      <c r="E14" s="65" t="s">
        <v>78</v>
      </c>
      <c r="F14" s="66"/>
      <c r="G14" s="66"/>
      <c r="H14" s="66"/>
      <c r="I14" s="67"/>
    </row>
    <row r="15" spans="1:11" ht="18" x14ac:dyDescent="0.3">
      <c r="A15" s="12" t="s">
        <v>9</v>
      </c>
      <c r="B15" s="12" t="s">
        <v>15</v>
      </c>
      <c r="C15" s="12" t="s">
        <v>21</v>
      </c>
      <c r="D15" s="12" t="s">
        <v>27</v>
      </c>
      <c r="E15" s="65" t="s">
        <v>79</v>
      </c>
      <c r="F15" s="66"/>
      <c r="G15" s="66"/>
      <c r="H15" s="66"/>
      <c r="I15" s="67"/>
    </row>
    <row r="16" spans="1:11" ht="18" x14ac:dyDescent="0.3">
      <c r="A16" s="12" t="s">
        <v>10</v>
      </c>
      <c r="B16" s="12" t="s">
        <v>16</v>
      </c>
      <c r="C16" s="12" t="s">
        <v>22</v>
      </c>
      <c r="D16" s="12" t="s">
        <v>26</v>
      </c>
      <c r="E16" s="23"/>
      <c r="F16" s="22"/>
      <c r="G16" s="22"/>
      <c r="H16" s="22"/>
      <c r="I16" s="24"/>
    </row>
    <row r="17" spans="1:9" x14ac:dyDescent="0.3">
      <c r="A17" s="14"/>
      <c r="B17" s="14"/>
      <c r="C17" s="64">
        <f>MATCH(B14,B10:B16,0)</f>
        <v>5</v>
      </c>
      <c r="D17" s="14"/>
      <c r="E17" s="26"/>
      <c r="F17" s="25"/>
      <c r="G17" s="25"/>
      <c r="H17" s="25"/>
      <c r="I17" s="27"/>
    </row>
  </sheetData>
  <mergeCells count="16">
    <mergeCell ref="E14:I14"/>
    <mergeCell ref="E15:I15"/>
    <mergeCell ref="E16:I16"/>
    <mergeCell ref="E17:I17"/>
    <mergeCell ref="F7:K7"/>
    <mergeCell ref="F8:K8"/>
    <mergeCell ref="E10:I10"/>
    <mergeCell ref="E11:I11"/>
    <mergeCell ref="E12:I12"/>
    <mergeCell ref="E13:I13"/>
    <mergeCell ref="F1:K1"/>
    <mergeCell ref="F2:K2"/>
    <mergeCell ref="F3:K3"/>
    <mergeCell ref="F4:K4"/>
    <mergeCell ref="F5:K5"/>
    <mergeCell ref="F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</dc:creator>
  <cp:lastModifiedBy>harini v</cp:lastModifiedBy>
  <dcterms:created xsi:type="dcterms:W3CDTF">2015-06-05T18:17:20Z</dcterms:created>
  <dcterms:modified xsi:type="dcterms:W3CDTF">2026-01-30T17:04:28Z</dcterms:modified>
</cp:coreProperties>
</file>