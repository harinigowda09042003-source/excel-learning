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57ff249834153ad6/Desktop/"/>
    </mc:Choice>
  </mc:AlternateContent>
  <xr:revisionPtr revIDLastSave="601" documentId="11_F25DC773A252ABDACC1048DCE1DA41DC5BDE58E5" xr6:coauthVersionLast="47" xr6:coauthVersionMax="47" xr10:uidLastSave="{0649E4AA-2D25-4FC1-951D-BCAA11B1B39F}"/>
  <bookViews>
    <workbookView xWindow="-108" yWindow="-108" windowWidth="23256" windowHeight="12456" xr2:uid="{00000000-000D-0000-FFFF-FFFF00000000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3" l="1"/>
  <c r="D22" i="3"/>
  <c r="D23" i="3"/>
  <c r="D20" i="3"/>
  <c r="C14" i="3"/>
  <c r="C15" i="3"/>
  <c r="C16" i="3"/>
  <c r="C13" i="3"/>
  <c r="D19" i="3"/>
  <c r="D18" i="3"/>
  <c r="D14" i="3"/>
  <c r="D15" i="3"/>
  <c r="D16" i="3"/>
  <c r="D13" i="3"/>
  <c r="B14" i="3"/>
  <c r="B15" i="3"/>
  <c r="B16" i="3"/>
  <c r="B13" i="3"/>
  <c r="H2" i="3"/>
  <c r="H3" i="3"/>
  <c r="H4" i="3"/>
  <c r="H5" i="3"/>
  <c r="C10" i="3"/>
  <c r="C9" i="3"/>
  <c r="C8" i="3"/>
  <c r="F10" i="3" s="1"/>
  <c r="C7" i="3"/>
  <c r="C6" i="3"/>
  <c r="C5" i="3"/>
  <c r="C4" i="3"/>
  <c r="C3" i="3"/>
  <c r="C2" i="3"/>
  <c r="G21" i="2"/>
  <c r="G20" i="2"/>
  <c r="G29" i="2"/>
  <c r="C15" i="2" a="1"/>
  <c r="C15" i="2" s="1"/>
  <c r="C14" i="2" a="1"/>
  <c r="C14" i="2" s="1"/>
  <c r="C13" i="2" a="1"/>
  <c r="C13" i="2"/>
  <c r="C12" i="2" a="1"/>
  <c r="C12" i="2" s="1"/>
  <c r="C22" i="2"/>
  <c r="C21" i="2"/>
  <c r="C20" i="2"/>
  <c r="C19" i="2"/>
  <c r="C11" i="2"/>
  <c r="C10" i="2"/>
  <c r="C9" i="2"/>
  <c r="C18" i="2"/>
  <c r="C8" i="2"/>
  <c r="C31" i="2"/>
  <c r="C30" i="2"/>
  <c r="C29" i="2"/>
  <c r="C28" i="2"/>
  <c r="C27" i="2"/>
  <c r="C26" i="2"/>
  <c r="C25" i="2"/>
  <c r="G10" i="2"/>
  <c r="G11" i="2"/>
  <c r="G9" i="2"/>
  <c r="G7" i="2"/>
  <c r="G8" i="2"/>
  <c r="G6" i="2"/>
  <c r="G5" i="2"/>
  <c r="G4" i="2"/>
  <c r="G3" i="2"/>
  <c r="G2" i="2"/>
  <c r="C6" i="2"/>
  <c r="C7" i="2"/>
  <c r="C2" i="2"/>
  <c r="C3" i="2"/>
  <c r="C4" i="2"/>
  <c r="C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<sst xmlns="http://schemas.openxmlformats.org/spreadsheetml/2006/main" count="150" uniqueCount="133">
  <si>
    <t>Quantity</t>
  </si>
  <si>
    <t>Price/Unit</t>
  </si>
  <si>
    <t>Total Sales</t>
  </si>
  <si>
    <t>total</t>
  </si>
  <si>
    <t>average</t>
  </si>
  <si>
    <t>sum product</t>
  </si>
  <si>
    <t>total sales=qty*ts</t>
  </si>
  <si>
    <t>average(c2:c4)</t>
  </si>
  <si>
    <t>sumproduct(a2:a4,b2:b4)</t>
  </si>
  <si>
    <t>Logical function</t>
  </si>
  <si>
    <t>Results</t>
  </si>
  <si>
    <t>iseven(a10)</t>
  </si>
  <si>
    <t>iseven(a11)</t>
  </si>
  <si>
    <t>isodd(a12)</t>
  </si>
  <si>
    <t>isodd(a13)</t>
  </si>
  <si>
    <t>islogical(a14)</t>
  </si>
  <si>
    <t>islogical(a15)</t>
  </si>
  <si>
    <t>islogical(a16)</t>
  </si>
  <si>
    <t>HARINI</t>
  </si>
  <si>
    <t>isnumber(a17)</t>
  </si>
  <si>
    <t>isnumber(a18)</t>
  </si>
  <si>
    <t>isnumber(a19)</t>
  </si>
  <si>
    <t>Functions</t>
  </si>
  <si>
    <t>Marthematical Functions Formulas</t>
  </si>
  <si>
    <t>Formulas</t>
  </si>
  <si>
    <t>functions</t>
  </si>
  <si>
    <t>Formula</t>
  </si>
  <si>
    <t>Values</t>
  </si>
  <si>
    <t>outcome</t>
  </si>
  <si>
    <t>round(g2,2)</t>
  </si>
  <si>
    <t>round up</t>
  </si>
  <si>
    <t>round(g3,2)</t>
  </si>
  <si>
    <t>round(g4,2)</t>
  </si>
  <si>
    <t>Int</t>
  </si>
  <si>
    <t>Round</t>
  </si>
  <si>
    <t>Round down</t>
  </si>
  <si>
    <t>int(g5)</t>
  </si>
  <si>
    <t>Trunc</t>
  </si>
  <si>
    <t>trunc(g6)</t>
  </si>
  <si>
    <t>Ceiling</t>
  </si>
  <si>
    <t>ceiling(g7,2)</t>
  </si>
  <si>
    <t>Floor</t>
  </si>
  <si>
    <t>floor(g8,2)</t>
  </si>
  <si>
    <t>subtotal</t>
  </si>
  <si>
    <t>subtotal(2,a2:c4)</t>
  </si>
  <si>
    <t>Factorial</t>
  </si>
  <si>
    <t>fact(b20)</t>
  </si>
  <si>
    <t>maxium</t>
  </si>
  <si>
    <t>max(b2:b4)</t>
  </si>
  <si>
    <t>minium</t>
  </si>
  <si>
    <t>min(b2:b4)</t>
  </si>
  <si>
    <t>randbetween</t>
  </si>
  <si>
    <t>randbetween(a2:a4)</t>
  </si>
  <si>
    <t>Absolute</t>
  </si>
  <si>
    <t>abs(b21)</t>
  </si>
  <si>
    <t>Power</t>
  </si>
  <si>
    <t>power(b22,5)</t>
  </si>
  <si>
    <t>Modules</t>
  </si>
  <si>
    <t>mob(b23,2)</t>
  </si>
  <si>
    <t>Square Root</t>
  </si>
  <si>
    <t>sqrt(b24)</t>
  </si>
  <si>
    <t>AND</t>
  </si>
  <si>
    <t>and(a2:a4&gt;9,b2:b4&gt;20)</t>
  </si>
  <si>
    <t>and(b2:b4&gt;600,a2:a4&gt;10)</t>
  </si>
  <si>
    <t>OR</t>
  </si>
  <si>
    <t>0r(a1:a4&gt;=10)</t>
  </si>
  <si>
    <t>or(c2:c4&gt;=600)</t>
  </si>
  <si>
    <t>Slno</t>
  </si>
  <si>
    <t>Total Score</t>
  </si>
  <si>
    <t>A1</t>
  </si>
  <si>
    <t>A2</t>
  </si>
  <si>
    <t>A3</t>
  </si>
  <si>
    <t>A4</t>
  </si>
  <si>
    <t>A5</t>
  </si>
  <si>
    <t>Count</t>
  </si>
  <si>
    <t>count(k2:k6)</t>
  </si>
  <si>
    <t>A6</t>
  </si>
  <si>
    <t>Name</t>
  </si>
  <si>
    <t>harini</t>
  </si>
  <si>
    <t>duggu</t>
  </si>
  <si>
    <t>pushkal</t>
  </si>
  <si>
    <t>CountA</t>
  </si>
  <si>
    <t>counta(k11:m16)</t>
  </si>
  <si>
    <t>CountBlank</t>
  </si>
  <si>
    <t>countblank(k11:m16)</t>
  </si>
  <si>
    <t>Istext</t>
  </si>
  <si>
    <t>istext(b2)</t>
  </si>
  <si>
    <t>Excel</t>
  </si>
  <si>
    <t>istext(b3)</t>
  </si>
  <si>
    <t>Length</t>
  </si>
  <si>
    <t>india</t>
  </si>
  <si>
    <t>len(b4)</t>
  </si>
  <si>
    <t>india is my country</t>
  </si>
  <si>
    <t>len(b5)</t>
  </si>
  <si>
    <t>Text</t>
  </si>
  <si>
    <t>text(b6,dd-mm-yy)</t>
  </si>
  <si>
    <t>Replace</t>
  </si>
  <si>
    <t>A1654</t>
  </si>
  <si>
    <t>replace(b7,1,1,"F")</t>
  </si>
  <si>
    <t>replace(b8,1,1,"K")</t>
  </si>
  <si>
    <t>Substitute</t>
  </si>
  <si>
    <t>I Work At Bank</t>
  </si>
  <si>
    <t>substitute(b9,"Bank","SBI")</t>
  </si>
  <si>
    <t>Concatenate</t>
  </si>
  <si>
    <t>Hello</t>
  </si>
  <si>
    <t>concatenate(b10&amp; " " &amp;b4)</t>
  </si>
  <si>
    <t>Women</t>
  </si>
  <si>
    <t>Respondents</t>
  </si>
  <si>
    <t>Histogram</t>
  </si>
  <si>
    <t>18-34</t>
  </si>
  <si>
    <t>35-49</t>
  </si>
  <si>
    <t>50-64</t>
  </si>
  <si>
    <t>65+</t>
  </si>
  <si>
    <t>repeat("#@",g2)</t>
  </si>
  <si>
    <t>Type Function</t>
  </si>
  <si>
    <t>type(c8)</t>
  </si>
  <si>
    <t>First Name</t>
  </si>
  <si>
    <t>Length[B]</t>
  </si>
  <si>
    <t>Trim</t>
  </si>
  <si>
    <t>Harini   gowda</t>
  </si>
  <si>
    <t xml:space="preserve"> karan       gupta</t>
  </si>
  <si>
    <t>Akashshetty</t>
  </si>
  <si>
    <t xml:space="preserve">    nithin       shar</t>
  </si>
  <si>
    <t>Lenth[A]</t>
  </si>
  <si>
    <t>trim(a13)</t>
  </si>
  <si>
    <t>len(c13)</t>
  </si>
  <si>
    <t>len(a13)</t>
  </si>
  <si>
    <t>find("i" , c13)</t>
  </si>
  <si>
    <t>find("i" , c13, 2)</t>
  </si>
  <si>
    <t>search("A",A15,1)</t>
  </si>
  <si>
    <t>upper(A16)</t>
  </si>
  <si>
    <t>lower(D21)</t>
  </si>
  <si>
    <t>proper(B4)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</si>
</sst>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0" fillId="0" borderId="7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3" borderId="1" xfId="0" applyFill="1" applyBorder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3" borderId="2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D00A-E5EF-4D4C-BD35-B8836BB732B3}">
  <dimension ref="A1:H31"/>
  <sheetViews>
    <sheetView tabSelected="1" topLeftCell="B5" zoomScale="95" workbookViewId="0">
      <selection activeCell="H34" sqref="H34"/>
    </sheetView>
  </sheetViews>
  <sheetFormatPr defaultRowHeight="14.4" x14ac:dyDescent="0.3"/>
  <cols>
    <col min="1" max="1" width="13.44140625" customWidth="1"/>
    <col min="2" max="2" width="14.88671875" customWidth="1"/>
    <col min="3" max="3" width="15" customWidth="1"/>
    <col min="4" max="4" width="30.77734375" customWidth="1"/>
    <col min="6" max="6" width="13" customWidth="1"/>
    <col min="7" max="7" width="12.109375" customWidth="1"/>
    <col min="8" max="8" width="18.77734375" customWidth="1"/>
    <col min="9" max="9" width="16.77734375" customWidth="1"/>
    <col min="10" max="10" width="16.5546875" customWidth="1"/>
    <col min="11" max="11" width="11.5546875" customWidth="1"/>
    <col min="12" max="12" width="13.44140625" customWidth="1"/>
    <col min="13" max="13" width="19.5546875" customWidth="1"/>
  </cols>
  <sheetData>
    <row r="1" spans="1:8" ht="15" thickBot="1" x14ac:dyDescent="0.35">
      <c r="A1" s="5" t="s">
        <v>0</v>
      </c>
      <c r="B1" s="5" t="s">
        <v>1</v>
      </c>
      <c r="C1" s="5" t="s">
        <v>2</v>
      </c>
      <c r="D1" s="12" t="s">
        <v>23</v>
      </c>
      <c r="F1" s="8" t="s">
        <v>9</v>
      </c>
      <c r="G1" s="5" t="s">
        <v>10</v>
      </c>
      <c r="H1" s="8" t="s">
        <v>24</v>
      </c>
    </row>
    <row r="2" spans="1:8" ht="15" thickBot="1" x14ac:dyDescent="0.35">
      <c r="A2" s="4">
        <v>10</v>
      </c>
      <c r="B2" s="4">
        <v>30</v>
      </c>
      <c r="C2" s="4">
        <f>A2*B2</f>
        <v>300</v>
      </c>
      <c r="D2" s="2"/>
      <c r="F2" s="13">
        <v>4</v>
      </c>
      <c r="G2" s="14" t="b">
        <f>ISEVEN(F2)</f>
        <v>1</v>
      </c>
      <c r="H2" s="15" t="s">
        <v>11</v>
      </c>
    </row>
    <row r="3" spans="1:8" ht="15" thickBot="1" x14ac:dyDescent="0.35">
      <c r="A3" s="4">
        <v>11</v>
      </c>
      <c r="B3" s="4">
        <v>35</v>
      </c>
      <c r="C3" s="4">
        <f t="shared" ref="C3:C4" si="0">A3*B3</f>
        <v>385</v>
      </c>
      <c r="D3" s="2"/>
      <c r="F3" s="13">
        <v>3</v>
      </c>
      <c r="G3" s="14" t="b">
        <f>ISEVEN(F3)</f>
        <v>0</v>
      </c>
      <c r="H3" s="15" t="s">
        <v>12</v>
      </c>
    </row>
    <row r="4" spans="1:8" ht="15" thickBot="1" x14ac:dyDescent="0.35">
      <c r="A4" s="4">
        <v>12</v>
      </c>
      <c r="B4" s="4">
        <v>40</v>
      </c>
      <c r="C4" s="4">
        <f t="shared" si="0"/>
        <v>480</v>
      </c>
      <c r="D4" s="2"/>
      <c r="F4" s="13">
        <v>5</v>
      </c>
      <c r="G4" s="14" t="b">
        <f>ISODD(F4)</f>
        <v>1</v>
      </c>
      <c r="H4" s="15" t="s">
        <v>13</v>
      </c>
    </row>
    <row r="5" spans="1:8" ht="15" thickBot="1" x14ac:dyDescent="0.35">
      <c r="A5" s="4"/>
      <c r="B5" s="21" t="s">
        <v>3</v>
      </c>
      <c r="C5" s="4">
        <f>SUM(C2:C4)</f>
        <v>1165</v>
      </c>
      <c r="D5" s="17" t="s">
        <v>6</v>
      </c>
      <c r="F5" s="13">
        <v>8</v>
      </c>
      <c r="G5" s="14" t="b">
        <f>ISODD(F5)</f>
        <v>0</v>
      </c>
      <c r="H5" s="15" t="s">
        <v>14</v>
      </c>
    </row>
    <row r="6" spans="1:8" ht="15" thickBot="1" x14ac:dyDescent="0.35">
      <c r="A6" s="4"/>
      <c r="B6" s="21" t="s">
        <v>4</v>
      </c>
      <c r="C6" s="4">
        <f>AVERAGE(C2:C4)</f>
        <v>388.33333333333331</v>
      </c>
      <c r="D6" s="17" t="s">
        <v>7</v>
      </c>
      <c r="F6" s="13">
        <v>30</v>
      </c>
      <c r="G6" s="14" t="b">
        <f>ISLOGICAL(F6)</f>
        <v>0</v>
      </c>
      <c r="H6" s="15" t="s">
        <v>15</v>
      </c>
    </row>
    <row r="7" spans="1:8" ht="15" thickBot="1" x14ac:dyDescent="0.35">
      <c r="A7" s="4"/>
      <c r="B7" s="21" t="s">
        <v>5</v>
      </c>
      <c r="C7" s="4">
        <f>SUMPRODUCT(A2:A4,B2:B4)</f>
        <v>1165</v>
      </c>
      <c r="D7" s="17" t="s">
        <v>8</v>
      </c>
      <c r="F7" s="14" t="b">
        <v>1</v>
      </c>
      <c r="G7" s="14" t="b">
        <f t="shared" ref="G7:G8" si="1">ISLOGICAL(F7)</f>
        <v>1</v>
      </c>
      <c r="H7" s="15" t="s">
        <v>16</v>
      </c>
    </row>
    <row r="8" spans="1:8" ht="15" thickBot="1" x14ac:dyDescent="0.35">
      <c r="A8" s="9"/>
      <c r="B8" s="21" t="s">
        <v>43</v>
      </c>
      <c r="C8" s="13">
        <f>SUBTOTAL(2,A2:C4)</f>
        <v>9</v>
      </c>
      <c r="D8" s="17" t="s">
        <v>44</v>
      </c>
      <c r="F8" s="14" t="b">
        <v>0</v>
      </c>
      <c r="G8" s="14" t="b">
        <f t="shared" si="1"/>
        <v>1</v>
      </c>
      <c r="H8" s="15" t="s">
        <v>17</v>
      </c>
    </row>
    <row r="9" spans="1:8" ht="15" thickBot="1" x14ac:dyDescent="0.35">
      <c r="A9" s="9"/>
      <c r="B9" s="21" t="s">
        <v>47</v>
      </c>
      <c r="C9" s="4">
        <f>MAX(B2:B4)</f>
        <v>40</v>
      </c>
      <c r="D9" s="17" t="s">
        <v>48</v>
      </c>
      <c r="F9" s="13">
        <v>20</v>
      </c>
      <c r="G9" s="14" t="b">
        <f>ISNUMBER(F9)</f>
        <v>1</v>
      </c>
      <c r="H9" s="15" t="s">
        <v>19</v>
      </c>
    </row>
    <row r="10" spans="1:8" ht="15" thickBot="1" x14ac:dyDescent="0.35">
      <c r="A10" s="9"/>
      <c r="B10" s="21" t="s">
        <v>49</v>
      </c>
      <c r="C10" s="4">
        <f>MIN(B2:B4)</f>
        <v>30</v>
      </c>
      <c r="D10" s="17" t="s">
        <v>50</v>
      </c>
      <c r="F10" s="13">
        <v>30.56</v>
      </c>
      <c r="G10" s="14" t="b">
        <f t="shared" ref="G10:G11" si="2">ISNUMBER(F10)</f>
        <v>1</v>
      </c>
      <c r="H10" s="15" t="s">
        <v>20</v>
      </c>
    </row>
    <row r="11" spans="1:8" ht="15" thickBot="1" x14ac:dyDescent="0.35">
      <c r="A11" s="9"/>
      <c r="B11" s="21" t="s">
        <v>51</v>
      </c>
      <c r="C11" s="4">
        <f ca="1">RANDBETWEEN(A2,A4)</f>
        <v>12</v>
      </c>
      <c r="D11" s="17" t="s">
        <v>52</v>
      </c>
      <c r="F11" s="14" t="s">
        <v>18</v>
      </c>
      <c r="G11" s="14" t="b">
        <f t="shared" si="2"/>
        <v>0</v>
      </c>
      <c r="H11" s="15" t="s">
        <v>21</v>
      </c>
    </row>
    <row r="12" spans="1:8" ht="15" thickBot="1" x14ac:dyDescent="0.35">
      <c r="A12" s="9"/>
      <c r="B12" s="21" t="s">
        <v>61</v>
      </c>
      <c r="C12" s="9" t="b" cm="1">
        <f t="array" ref="C12">AND(A2:A4&gt;9,B2:B4&gt;20)</f>
        <v>1</v>
      </c>
      <c r="D12" s="25" t="s">
        <v>62</v>
      </c>
    </row>
    <row r="13" spans="1:8" ht="15" thickBot="1" x14ac:dyDescent="0.35">
      <c r="A13" s="9"/>
      <c r="B13" s="21" t="s">
        <v>61</v>
      </c>
      <c r="C13" s="9" t="b" cm="1">
        <f t="array" ref="C13">AND(B2:B4&gt;600,A2:A4&gt;10)</f>
        <v>0</v>
      </c>
      <c r="D13" s="17" t="s">
        <v>63</v>
      </c>
      <c r="F13" s="21" t="s">
        <v>67</v>
      </c>
      <c r="G13" s="21" t="s">
        <v>68</v>
      </c>
      <c r="H13" s="21" t="s">
        <v>77</v>
      </c>
    </row>
    <row r="14" spans="1:8" ht="15" thickBot="1" x14ac:dyDescent="0.35">
      <c r="A14" s="9"/>
      <c r="B14" s="21" t="s">
        <v>64</v>
      </c>
      <c r="C14" s="9" t="b" cm="1">
        <f t="array" ref="C14">OR(A2:A4&gt;=10)</f>
        <v>1</v>
      </c>
      <c r="D14" s="17" t="s">
        <v>65</v>
      </c>
      <c r="F14" s="4" t="s">
        <v>69</v>
      </c>
      <c r="G14" s="4">
        <v>80</v>
      </c>
      <c r="H14" s="4" t="s">
        <v>78</v>
      </c>
    </row>
    <row r="15" spans="1:8" ht="15" thickBot="1" x14ac:dyDescent="0.35">
      <c r="A15" s="9"/>
      <c r="B15" s="21" t="s">
        <v>64</v>
      </c>
      <c r="C15" s="9" t="b" cm="1">
        <f t="array" ref="C15">OR(C2:C4&gt;=800)</f>
        <v>0</v>
      </c>
      <c r="D15" s="18" t="s">
        <v>66</v>
      </c>
      <c r="F15" s="4"/>
      <c r="G15" s="4"/>
      <c r="H15" s="4"/>
    </row>
    <row r="16" spans="1:8" ht="15" thickBot="1" x14ac:dyDescent="0.35">
      <c r="F16" s="4" t="s">
        <v>71</v>
      </c>
      <c r="G16" s="4">
        <v>99</v>
      </c>
      <c r="H16" s="4" t="s">
        <v>79</v>
      </c>
    </row>
    <row r="17" spans="1:8" ht="15" thickBot="1" x14ac:dyDescent="0.35">
      <c r="A17" s="23" t="s">
        <v>25</v>
      </c>
      <c r="B17" s="23" t="s">
        <v>27</v>
      </c>
      <c r="C17" s="23" t="s">
        <v>28</v>
      </c>
      <c r="D17" s="24" t="s">
        <v>26</v>
      </c>
      <c r="F17" s="4" t="s">
        <v>72</v>
      </c>
      <c r="G17" s="4"/>
      <c r="H17" s="4"/>
    </row>
    <row r="18" spans="1:8" ht="15" thickBot="1" x14ac:dyDescent="0.35">
      <c r="A18" s="13" t="s">
        <v>45</v>
      </c>
      <c r="B18" s="13">
        <v>5</v>
      </c>
      <c r="C18" s="13">
        <f>FACT(B18)</f>
        <v>120</v>
      </c>
      <c r="D18" s="19" t="s">
        <v>46</v>
      </c>
      <c r="F18" s="4" t="s">
        <v>73</v>
      </c>
      <c r="G18" s="4">
        <v>76</v>
      </c>
      <c r="H18" s="4" t="s">
        <v>80</v>
      </c>
    </row>
    <row r="19" spans="1:8" ht="15" thickBot="1" x14ac:dyDescent="0.35">
      <c r="A19" s="13" t="s">
        <v>53</v>
      </c>
      <c r="B19" s="13">
        <v>-23.89</v>
      </c>
      <c r="C19" s="13">
        <f>ABS(B19)</f>
        <v>23.89</v>
      </c>
      <c r="D19" s="17" t="s">
        <v>54</v>
      </c>
      <c r="F19" s="4" t="s">
        <v>76</v>
      </c>
      <c r="G19" s="4">
        <v>98</v>
      </c>
      <c r="H19" s="4"/>
    </row>
    <row r="20" spans="1:8" ht="15" thickBot="1" x14ac:dyDescent="0.35">
      <c r="A20" s="13" t="s">
        <v>55</v>
      </c>
      <c r="B20" s="13">
        <v>3</v>
      </c>
      <c r="C20" s="13">
        <f>POWER(B20,5)</f>
        <v>243</v>
      </c>
      <c r="D20" s="17" t="s">
        <v>56</v>
      </c>
      <c r="F20" s="4" t="s">
        <v>81</v>
      </c>
      <c r="G20" s="4">
        <f>COUNTA(F14:H19)</f>
        <v>12</v>
      </c>
      <c r="H20" s="11" t="s">
        <v>82</v>
      </c>
    </row>
    <row r="21" spans="1:8" ht="15" thickBot="1" x14ac:dyDescent="0.35">
      <c r="A21" s="13" t="s">
        <v>57</v>
      </c>
      <c r="B21" s="13">
        <v>12</v>
      </c>
      <c r="C21" s="13">
        <f>MOD(B21,2)</f>
        <v>0</v>
      </c>
      <c r="D21" s="17" t="s">
        <v>58</v>
      </c>
      <c r="F21" s="4" t="s">
        <v>83</v>
      </c>
      <c r="G21" s="4">
        <f>COUNTBLANK(F14:H19)</f>
        <v>6</v>
      </c>
      <c r="H21" s="11" t="s">
        <v>84</v>
      </c>
    </row>
    <row r="22" spans="1:8" ht="15" thickBot="1" x14ac:dyDescent="0.35">
      <c r="A22" s="13" t="s">
        <v>59</v>
      </c>
      <c r="B22" s="13">
        <v>10</v>
      </c>
      <c r="C22" s="13">
        <f>SQRT(B22)</f>
        <v>3.1622776601683795</v>
      </c>
      <c r="D22" s="18" t="s">
        <v>60</v>
      </c>
    </row>
    <row r="23" spans="1:8" ht="15" thickBot="1" x14ac:dyDescent="0.35">
      <c r="F23" s="21" t="s">
        <v>67</v>
      </c>
      <c r="G23" s="21" t="s">
        <v>68</v>
      </c>
      <c r="H23" s="4"/>
    </row>
    <row r="24" spans="1:8" ht="15" thickBot="1" x14ac:dyDescent="0.35">
      <c r="A24" s="5" t="s">
        <v>22</v>
      </c>
      <c r="B24" s="5" t="s">
        <v>27</v>
      </c>
      <c r="C24" s="5" t="s">
        <v>28</v>
      </c>
      <c r="D24" s="16" t="s">
        <v>26</v>
      </c>
      <c r="F24" s="4" t="s">
        <v>69</v>
      </c>
      <c r="G24" s="4">
        <v>80</v>
      </c>
      <c r="H24" s="4"/>
    </row>
    <row r="25" spans="1:8" ht="15" thickBot="1" x14ac:dyDescent="0.35">
      <c r="A25" s="13" t="s">
        <v>34</v>
      </c>
      <c r="B25" s="13">
        <v>35.316000000000003</v>
      </c>
      <c r="C25" s="13">
        <f>ROUND(B25,2)</f>
        <v>35.32</v>
      </c>
      <c r="D25" s="19" t="s">
        <v>29</v>
      </c>
      <c r="F25" s="4" t="s">
        <v>70</v>
      </c>
      <c r="G25" s="4">
        <v>78</v>
      </c>
      <c r="H25" s="4"/>
    </row>
    <row r="26" spans="1:8" ht="15" thickBot="1" x14ac:dyDescent="0.35">
      <c r="A26" s="13" t="s">
        <v>35</v>
      </c>
      <c r="B26" s="13">
        <v>35.316000000000003</v>
      </c>
      <c r="C26" s="13">
        <f>ROUNDDOWN(B26,2)</f>
        <v>35.31</v>
      </c>
      <c r="D26" s="19" t="s">
        <v>31</v>
      </c>
      <c r="F26" s="4" t="s">
        <v>71</v>
      </c>
      <c r="G26" s="4">
        <v>99</v>
      </c>
      <c r="H26" s="4"/>
    </row>
    <row r="27" spans="1:8" ht="15" thickBot="1" x14ac:dyDescent="0.35">
      <c r="A27" s="13" t="s">
        <v>30</v>
      </c>
      <c r="B27" s="13">
        <v>35.316000000000003</v>
      </c>
      <c r="C27" s="13">
        <f>ROUNDUP(B27,2)</f>
        <v>35.32</v>
      </c>
      <c r="D27" s="19" t="s">
        <v>32</v>
      </c>
      <c r="F27" s="4" t="s">
        <v>72</v>
      </c>
      <c r="G27" s="4">
        <v>90</v>
      </c>
      <c r="H27" s="4"/>
    </row>
    <row r="28" spans="1:8" ht="15" thickBot="1" x14ac:dyDescent="0.35">
      <c r="A28" s="13" t="s">
        <v>33</v>
      </c>
      <c r="B28" s="13">
        <v>35.316000000000003</v>
      </c>
      <c r="C28" s="13">
        <f>INT(B28)</f>
        <v>35</v>
      </c>
      <c r="D28" s="19" t="s">
        <v>36</v>
      </c>
      <c r="F28" s="4" t="s">
        <v>73</v>
      </c>
      <c r="G28" s="4">
        <v>76</v>
      </c>
      <c r="H28" s="4"/>
    </row>
    <row r="29" spans="1:8" ht="15" thickBot="1" x14ac:dyDescent="0.35">
      <c r="A29" s="13" t="s">
        <v>37</v>
      </c>
      <c r="B29" s="13">
        <v>35.316000000000003</v>
      </c>
      <c r="C29" s="13">
        <f>TRUNC(B29,1)</f>
        <v>35.299999999999997</v>
      </c>
      <c r="D29" s="19" t="s">
        <v>38</v>
      </c>
      <c r="F29" s="4" t="s">
        <v>74</v>
      </c>
      <c r="G29" s="4">
        <f>COUNT(G24:G28)</f>
        <v>5</v>
      </c>
      <c r="H29" s="11" t="s">
        <v>75</v>
      </c>
    </row>
    <row r="30" spans="1:8" ht="15" thickBot="1" x14ac:dyDescent="0.35">
      <c r="A30" s="13" t="s">
        <v>39</v>
      </c>
      <c r="B30" s="13">
        <v>35.316000000000003</v>
      </c>
      <c r="C30" s="13">
        <f>CEILING(B30,2)</f>
        <v>36</v>
      </c>
      <c r="D30" s="19" t="s">
        <v>40</v>
      </c>
    </row>
    <row r="31" spans="1:8" ht="15" thickBot="1" x14ac:dyDescent="0.35">
      <c r="A31" s="13" t="s">
        <v>41</v>
      </c>
      <c r="B31" s="13">
        <v>35.316000000000003</v>
      </c>
      <c r="C31" s="13">
        <f>FLOOR(B31,2)</f>
        <v>34</v>
      </c>
      <c r="D31" s="20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B685-7DDB-413D-9B10-773701A03E3D}">
  <dimension ref="A1:H23"/>
  <sheetViews>
    <sheetView topLeftCell="A8" zoomScale="135" workbookViewId="0">
      <selection activeCell="F18" sqref="F18"/>
    </sheetView>
  </sheetViews>
  <sheetFormatPr defaultRowHeight="14.4" x14ac:dyDescent="0.3"/>
  <cols>
    <col min="1" max="1" width="14.5546875" customWidth="1"/>
    <col min="2" max="2" width="20.5546875" customWidth="1"/>
    <col min="3" max="3" width="15.33203125" customWidth="1"/>
    <col min="4" max="4" width="24" customWidth="1"/>
    <col min="6" max="6" width="13.44140625" customWidth="1"/>
    <col min="7" max="7" width="11.44140625" customWidth="1"/>
    <col min="8" max="8" width="19.6640625" customWidth="1"/>
    <col min="9" max="9" width="15.6640625" customWidth="1"/>
  </cols>
  <sheetData>
    <row r="1" spans="1:8" ht="15" thickBot="1" x14ac:dyDescent="0.35">
      <c r="A1" s="23" t="s">
        <v>25</v>
      </c>
      <c r="B1" s="23" t="s">
        <v>27</v>
      </c>
      <c r="C1" s="23" t="s">
        <v>28</v>
      </c>
      <c r="D1" s="24" t="s">
        <v>26</v>
      </c>
      <c r="F1" s="23" t="s">
        <v>106</v>
      </c>
      <c r="G1" s="23" t="s">
        <v>107</v>
      </c>
      <c r="H1" s="23" t="s">
        <v>108</v>
      </c>
    </row>
    <row r="2" spans="1:8" ht="15" thickBot="1" x14ac:dyDescent="0.35">
      <c r="A2" s="4" t="s">
        <v>85</v>
      </c>
      <c r="B2" s="4">
        <v>10</v>
      </c>
      <c r="C2" s="4" t="b">
        <f>ISTEXT(B2)</f>
        <v>0</v>
      </c>
      <c r="D2" s="22" t="s">
        <v>86</v>
      </c>
      <c r="F2" s="9" t="s">
        <v>109</v>
      </c>
      <c r="G2" s="9">
        <v>1</v>
      </c>
      <c r="H2" s="9" t="str">
        <f>REPT("#@", G2)</f>
        <v>#@</v>
      </c>
    </row>
    <row r="3" spans="1:8" ht="15" thickBot="1" x14ac:dyDescent="0.35">
      <c r="A3" s="4"/>
      <c r="B3" s="4" t="s">
        <v>87</v>
      </c>
      <c r="C3" s="4" t="b">
        <f>ISTEXT(B3)</f>
        <v>1</v>
      </c>
      <c r="D3" s="22" t="s">
        <v>88</v>
      </c>
      <c r="F3" s="9" t="s">
        <v>110</v>
      </c>
      <c r="G3" s="9">
        <v>5</v>
      </c>
      <c r="H3" s="9" t="str">
        <f t="shared" ref="H3:H5" si="0">REPT("#@", G3)</f>
        <v>#@#@#@#@#@</v>
      </c>
    </row>
    <row r="4" spans="1:8" ht="15" thickBot="1" x14ac:dyDescent="0.35">
      <c r="A4" s="4" t="s">
        <v>89</v>
      </c>
      <c r="B4" s="4" t="s">
        <v>90</v>
      </c>
      <c r="C4" s="4">
        <f>LEN(B4)</f>
        <v>5</v>
      </c>
      <c r="D4" s="22" t="s">
        <v>91</v>
      </c>
      <c r="F4" s="4" t="s">
        <v>111</v>
      </c>
      <c r="G4" s="9">
        <v>2</v>
      </c>
      <c r="H4" s="9" t="str">
        <f t="shared" si="0"/>
        <v>#@#@</v>
      </c>
    </row>
    <row r="5" spans="1:8" ht="15" thickBot="1" x14ac:dyDescent="0.35">
      <c r="A5" s="4"/>
      <c r="B5" s="4" t="s">
        <v>92</v>
      </c>
      <c r="C5" s="4">
        <f>LEN(B5)</f>
        <v>19</v>
      </c>
      <c r="D5" s="22" t="s">
        <v>93</v>
      </c>
      <c r="F5" s="9" t="s">
        <v>112</v>
      </c>
      <c r="G5" s="9">
        <v>3</v>
      </c>
      <c r="H5" s="9" t="str">
        <f t="shared" si="0"/>
        <v>#@#@#@</v>
      </c>
    </row>
    <row r="6" spans="1:8" ht="15" thickBot="1" x14ac:dyDescent="0.35">
      <c r="A6" s="4" t="s">
        <v>94</v>
      </c>
      <c r="B6" s="26">
        <v>45838</v>
      </c>
      <c r="C6" s="4" t="str">
        <f>TEXT(B6,"dd-mmm-yyyy")</f>
        <v>30-Jun-2025</v>
      </c>
      <c r="D6" s="22" t="s">
        <v>95</v>
      </c>
      <c r="F6" s="6"/>
      <c r="G6" s="27" t="s">
        <v>26</v>
      </c>
      <c r="H6" s="2"/>
    </row>
    <row r="7" spans="1:8" ht="15" thickBot="1" x14ac:dyDescent="0.35">
      <c r="A7" s="4" t="s">
        <v>96</v>
      </c>
      <c r="B7" s="4" t="s">
        <v>97</v>
      </c>
      <c r="C7" s="4" t="str">
        <f>REPLACE(B7,1,1,"F")</f>
        <v>F1654</v>
      </c>
      <c r="D7" s="22" t="s">
        <v>98</v>
      </c>
      <c r="F7" s="7"/>
      <c r="G7" s="28" t="s">
        <v>113</v>
      </c>
      <c r="H7" s="3"/>
    </row>
    <row r="8" spans="1:8" ht="15" thickBot="1" x14ac:dyDescent="0.35">
      <c r="A8" s="4"/>
      <c r="B8" s="4" t="s">
        <v>18</v>
      </c>
      <c r="C8" s="4" t="str">
        <f>REPLACE(B8,1,1,"k")</f>
        <v>kARINI</v>
      </c>
      <c r="D8" s="22" t="s">
        <v>99</v>
      </c>
    </row>
    <row r="9" spans="1:8" ht="15" thickBot="1" x14ac:dyDescent="0.35">
      <c r="A9" s="4" t="s">
        <v>100</v>
      </c>
      <c r="B9" s="4" t="s">
        <v>101</v>
      </c>
      <c r="C9" s="4" t="str">
        <f>SUBSTITUTE(B9,"Bank","SbI")</f>
        <v>I Work At SbI</v>
      </c>
      <c r="D9" s="22" t="s">
        <v>102</v>
      </c>
      <c r="F9" s="21" t="s">
        <v>114</v>
      </c>
      <c r="G9" s="9"/>
    </row>
    <row r="10" spans="1:8" ht="15" thickBot="1" x14ac:dyDescent="0.35">
      <c r="A10" s="4" t="s">
        <v>103</v>
      </c>
      <c r="B10" s="4" t="s">
        <v>104</v>
      </c>
      <c r="C10" s="4" t="str">
        <f>CONCATENATE(B10&amp; " " &amp;B4)</f>
        <v>Hello india</v>
      </c>
      <c r="D10" s="25" t="s">
        <v>105</v>
      </c>
      <c r="F10" s="9">
        <f>TYPE(C8)</f>
        <v>2</v>
      </c>
      <c r="G10" s="10" t="s">
        <v>115</v>
      </c>
    </row>
    <row r="11" spans="1:8" ht="15" thickBot="1" x14ac:dyDescent="0.35"/>
    <row r="12" spans="1:8" ht="15" thickBot="1" x14ac:dyDescent="0.35">
      <c r="A12" s="21" t="s">
        <v>116</v>
      </c>
      <c r="B12" s="21" t="s">
        <v>117</v>
      </c>
      <c r="C12" s="21" t="s">
        <v>118</v>
      </c>
      <c r="D12" s="21" t="s">
        <v>123</v>
      </c>
    </row>
    <row r="13" spans="1:8" ht="15" thickBot="1" x14ac:dyDescent="0.35">
      <c r="A13" s="4" t="s">
        <v>119</v>
      </c>
      <c r="B13" s="4">
        <f>LEN(A13)</f>
        <v>14</v>
      </c>
      <c r="C13" s="4" t="str">
        <f>TRIM(A13)</f>
        <v>Harini gowda</v>
      </c>
      <c r="D13" s="4">
        <f>LEN(C13)</f>
        <v>12</v>
      </c>
      <c r="F13" s="1"/>
    </row>
    <row r="14" spans="1:8" ht="15" thickBot="1" x14ac:dyDescent="0.35">
      <c r="A14" s="4" t="s">
        <v>120</v>
      </c>
      <c r="B14" s="4">
        <f t="shared" ref="B14:B16" si="1">LEN(A14)</f>
        <v>18</v>
      </c>
      <c r="C14" s="4" t="str">
        <f t="shared" ref="C14:C16" si="2">TRIM(A14)</f>
        <v>karan gupta</v>
      </c>
      <c r="D14" s="4">
        <f t="shared" ref="D14:D16" si="3">LEN(C14)</f>
        <v>11</v>
      </c>
      <c r="F14" s="1"/>
    </row>
    <row r="15" spans="1:8" ht="15" thickBot="1" x14ac:dyDescent="0.35">
      <c r="A15" s="4" t="s">
        <v>121</v>
      </c>
      <c r="B15" s="4">
        <f t="shared" si="1"/>
        <v>11</v>
      </c>
      <c r="C15" s="4" t="str">
        <f t="shared" si="2"/>
        <v>Akashshetty</v>
      </c>
      <c r="D15" s="4">
        <f t="shared" si="3"/>
        <v>11</v>
      </c>
    </row>
    <row r="16" spans="1:8" ht="15" thickBot="1" x14ac:dyDescent="0.35">
      <c r="A16" s="4" t="s">
        <v>122</v>
      </c>
      <c r="B16" s="4">
        <f t="shared" si="1"/>
        <v>21</v>
      </c>
      <c r="C16" s="4" t="str">
        <f t="shared" si="2"/>
        <v>nithin shar</v>
      </c>
      <c r="D16" s="4">
        <f t="shared" si="3"/>
        <v>11</v>
      </c>
    </row>
    <row r="17" spans="1:4" ht="15" thickBot="1" x14ac:dyDescent="0.35">
      <c r="A17" s="4"/>
      <c r="B17" s="11" t="s">
        <v>126</v>
      </c>
      <c r="C17" s="11" t="s">
        <v>124</v>
      </c>
      <c r="D17" s="11" t="s">
        <v>125</v>
      </c>
    </row>
    <row r="18" spans="1:4" ht="15" thickBot="1" x14ac:dyDescent="0.35">
      <c r="A18" s="9"/>
      <c r="B18" s="9"/>
      <c r="C18" s="10" t="s">
        <v>127</v>
      </c>
      <c r="D18" s="4">
        <f>FIND("i", C13)</f>
        <v>4</v>
      </c>
    </row>
    <row r="19" spans="1:4" ht="15" thickBot="1" x14ac:dyDescent="0.35">
      <c r="A19" s="9"/>
      <c r="B19" s="9"/>
      <c r="C19" s="10" t="s">
        <v>128</v>
      </c>
      <c r="D19" s="4">
        <f>FIND("i", A13,  2)</f>
        <v>4</v>
      </c>
    </row>
    <row r="20" spans="1:4" ht="15" thickBot="1" x14ac:dyDescent="0.35">
      <c r="A20" s="9"/>
      <c r="B20" s="9"/>
      <c r="C20" s="10" t="s">
        <v>129</v>
      </c>
      <c r="D20" s="4">
        <f>SEARCH("A", A15,1)</f>
        <v>1</v>
      </c>
    </row>
    <row r="21" spans="1:4" ht="15" thickBot="1" x14ac:dyDescent="0.35">
      <c r="A21" s="9"/>
      <c r="B21" s="9"/>
      <c r="C21" s="10" t="s">
        <v>130</v>
      </c>
      <c r="D21" s="9" t="str">
        <f>UPPER(A16)</f>
        <v xml:space="preserve">    NITHIN       SHAR</v>
      </c>
    </row>
    <row r="22" spans="1:4" ht="15" thickBot="1" x14ac:dyDescent="0.35">
      <c r="A22" s="9"/>
      <c r="B22" s="9"/>
      <c r="C22" s="10" t="s">
        <v>131</v>
      </c>
      <c r="D22" s="9" t="str">
        <f>LOWER(D21)</f>
        <v xml:space="preserve">    nithin       shar</v>
      </c>
    </row>
    <row r="23" spans="1:4" ht="15" thickBot="1" x14ac:dyDescent="0.35">
      <c r="A23" s="9"/>
      <c r="B23" s="9"/>
      <c r="C23" s="10" t="s">
        <v>132</v>
      </c>
      <c r="D23" s="9" t="str">
        <f>PROPER(B4)</f>
        <v>India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</dc:creator>
  <cp:lastModifiedBy>harini v</cp:lastModifiedBy>
  <dcterms:created xsi:type="dcterms:W3CDTF">2015-06-05T18:17:20Z</dcterms:created>
  <dcterms:modified xsi:type="dcterms:W3CDTF">2026-01-28T10:52:49Z</dcterms:modified>
</cp:coreProperties>
</file>